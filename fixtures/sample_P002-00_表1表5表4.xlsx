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5-2" sheetId="2" state="visible" r:id="rId2"/>
    <sheet xmlns:r="http://schemas.openxmlformats.org/officeDocument/2006/relationships" name="表4" sheetId="3" state="visible" r:id="rId3"/>
  </sheets>
  <definedNames>
    <definedName name="_xlnm.Print_Area" localSheetId="0">'表1'!$A$1:$P$38</definedName>
    <definedName name="_xlnm.Print_Area" localSheetId="1">'表5-2'!$A$1:$M$46</definedName>
    <definedName name="_xlnm.Print_Area" localSheetId="2">'表4'!$A$1:$R$35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 %&quot;"/>
    <numFmt numFmtId="165" formatCode="0.00&quot;%&quot;"/>
    <numFmt numFmtId="166" formatCode="0.##"/>
    <numFmt numFmtId="167" formatCode="0&quot;%&quot;"/>
  </numFmts>
  <fonts count="6">
    <font>
      <name val="Calibri"/>
      <family val="2"/>
      <color theme="1"/>
      <sz val="11"/>
      <scheme val="minor"/>
    </font>
    <font>
      <name val="標楷體"/>
      <b val="1"/>
      <sz val="14"/>
    </font>
    <font>
      <name val="標楷體"/>
      <sz val="10"/>
    </font>
    <font>
      <name val="標楷體"/>
      <sz val="9"/>
    </font>
    <font>
      <name val="標楷體"/>
      <sz val="7"/>
    </font>
    <font>
      <name val="標楷體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5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8"/>
  <sheetViews>
    <sheetView workbookViewId="0">
      <selection activeCell="A1" sqref="A1"/>
    </sheetView>
  </sheetViews>
  <sheetFormatPr baseColWidth="8" defaultRowHeight="15"/>
  <cols>
    <col width="4" customWidth="1" min="1" max="1"/>
    <col width="3" customWidth="1" min="2" max="2"/>
    <col width="3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4" customWidth="1" min="10" max="10"/>
    <col width="3" customWidth="1" min="11" max="11"/>
    <col width="3" customWidth="1" min="12" max="12"/>
    <col width="15" customWidth="1" min="13" max="13"/>
    <col width="8" customWidth="1" min="14" max="14"/>
    <col width="8" customWidth="1" min="15" max="15"/>
    <col width="12" customWidth="1" min="16" max="16"/>
  </cols>
  <sheetData>
    <row r="1">
      <c r="A1" s="1" t="inlineStr">
        <is>
          <t>表1  地價區段勘查表</t>
        </is>
      </c>
    </row>
    <row r="2">
      <c r="A2" s="2" t="inlineStr">
        <is>
          <t>新北市金山區</t>
        </is>
      </c>
    </row>
    <row r="3" ht="36" customHeight="1">
      <c r="A3" s="3" t="inlineStr">
        <is>
          <t>年
期</t>
        </is>
      </c>
      <c r="B3" s="4" t="n"/>
      <c r="C3" s="5" t="inlineStr">
        <is>
          <t>1140901</t>
        </is>
      </c>
      <c r="D3" s="4" t="n"/>
      <c r="E3" s="3" t="inlineStr">
        <is>
          <t>區段編號</t>
        </is>
      </c>
      <c r="F3" s="5" t="inlineStr">
        <is>
          <t>P002-00</t>
        </is>
      </c>
      <c r="G3" s="4" t="n"/>
      <c r="H3" s="6" t="inlineStr">
        <is>
          <t>區段範圍
(公共設施保留地請填明毗鄰非保留地區段號)</t>
        </is>
      </c>
      <c r="I3" s="4" t="n"/>
      <c r="J3" s="7" t="inlineStr">
        <is>
          <t>北側至金包里街以北臨路第一筆宗地，南側至中山路以南第一筆宗地，西側至中正路，東側至福德街之第二種商業區土地劃為P002-00區段。</t>
        </is>
      </c>
      <c r="K3" s="8" t="n"/>
      <c r="L3" s="8" t="n"/>
      <c r="M3" s="8" t="n"/>
      <c r="N3" s="8" t="n"/>
      <c r="O3" s="8" t="n"/>
      <c r="P3" s="4" t="n"/>
    </row>
    <row r="4" ht="17" customHeight="1">
      <c r="A4" s="9" t="inlineStr">
        <is>
          <t>土
地
使
用
管
制</t>
        </is>
      </c>
      <c r="B4" s="5" t="n">
        <v>1</v>
      </c>
      <c r="C4" s="5" t="n">
        <v>2</v>
      </c>
      <c r="D4" s="10" t="inlineStr">
        <is>
          <t>都市計畫(內外)</t>
        </is>
      </c>
      <c r="E4" s="11" t="inlineStr">
        <is>
          <t>都市計畫內</t>
        </is>
      </c>
      <c r="F4" s="8" t="n"/>
      <c r="G4" s="8" t="n"/>
      <c r="H4" s="8" t="n"/>
      <c r="I4" s="4" t="n"/>
      <c r="J4" s="9" t="inlineStr">
        <is>
          <t>公
共
建
設</t>
        </is>
      </c>
      <c r="K4" s="5" t="n">
        <v>1</v>
      </c>
      <c r="L4" s="5" t="n">
        <v>5</v>
      </c>
      <c r="M4" s="10" t="inlineStr">
        <is>
          <t>觀光遊憩設施</t>
        </is>
      </c>
      <c r="N4" s="11" t="inlineStr">
        <is>
          <t>名稱：金包里老街 ●本區段內 ○本區段外(距  M)</t>
        </is>
      </c>
      <c r="O4" s="8" t="n"/>
      <c r="P4" s="4" t="n"/>
    </row>
    <row r="5" ht="17" customHeight="1">
      <c r="A5" s="12" t="n"/>
      <c r="B5" s="5" t="n">
        <v>1</v>
      </c>
      <c r="C5" s="5" t="n">
        <v>5</v>
      </c>
      <c r="D5" s="10" t="inlineStr">
        <is>
          <t>使用分區(使用地類別)</t>
        </is>
      </c>
      <c r="E5" s="11" t="inlineStr">
        <is>
          <t>第二種商業區</t>
        </is>
      </c>
      <c r="F5" s="8" t="n"/>
      <c r="G5" s="8" t="n"/>
      <c r="H5" s="8" t="n"/>
      <c r="I5" s="4" t="n"/>
      <c r="J5" s="12" t="n"/>
      <c r="K5" s="5" t="n">
        <v>2</v>
      </c>
      <c r="L5" s="5" t="n">
        <v>5</v>
      </c>
      <c r="M5" s="10" t="inlineStr">
        <is>
          <t>停車場地</t>
        </is>
      </c>
      <c r="N5" s="11" t="inlineStr">
        <is>
          <t>名稱：金包里老街停車場 ○本區段內 ●本區段外(距 120 M)</t>
        </is>
      </c>
      <c r="O5" s="8" t="n"/>
      <c r="P5" s="4" t="n"/>
    </row>
    <row r="6" ht="17" customHeight="1">
      <c r="A6" s="12" t="n"/>
      <c r="B6" s="5" t="n">
        <v>1</v>
      </c>
      <c r="C6" s="5" t="n">
        <v>5</v>
      </c>
      <c r="D6" s="10" t="inlineStr">
        <is>
          <t>建蔽率</t>
        </is>
      </c>
      <c r="E6" s="11" t="inlineStr">
        <is>
          <t>70%</t>
        </is>
      </c>
      <c r="F6" s="8" t="n"/>
      <c r="G6" s="8" t="n"/>
      <c r="H6" s="8" t="n"/>
      <c r="I6" s="4" t="n"/>
      <c r="J6" s="12" t="n"/>
      <c r="K6" s="5" t="n"/>
      <c r="L6" s="5" t="n"/>
      <c r="M6" s="10" t="inlineStr">
        <is>
          <t>接近服務性設施的程度</t>
        </is>
      </c>
      <c r="N6" s="11" t="inlineStr">
        <is>
          <t>名稱： ○本區段內 ○本區段外(距   M)</t>
        </is>
      </c>
      <c r="O6" s="8" t="n"/>
      <c r="P6" s="4" t="n"/>
    </row>
    <row r="7" ht="17" customHeight="1">
      <c r="A7" s="12" t="n"/>
      <c r="B7" s="5" t="n">
        <v>1</v>
      </c>
      <c r="C7" s="5" t="n">
        <v>5</v>
      </c>
      <c r="D7" s="10" t="inlineStr">
        <is>
          <t>容積率</t>
        </is>
      </c>
      <c r="E7" s="11" t="inlineStr">
        <is>
          <t>240%</t>
        </is>
      </c>
      <c r="F7" s="8" t="n"/>
      <c r="G7" s="8" t="n"/>
      <c r="H7" s="8" t="n"/>
      <c r="I7" s="4" t="n"/>
      <c r="J7" s="12" t="n"/>
      <c r="K7" s="5" t="n"/>
      <c r="L7" s="5" t="n"/>
      <c r="M7" s="10" t="inlineStr">
        <is>
          <t>電力資源</t>
        </is>
      </c>
      <c r="N7" s="11" t="inlineStr"/>
      <c r="O7" s="8" t="n"/>
      <c r="P7" s="4" t="n"/>
    </row>
    <row r="8" ht="17" customHeight="1">
      <c r="A8" s="12" t="n"/>
      <c r="B8" s="5" t="n">
        <v>1</v>
      </c>
      <c r="C8" s="5" t="n">
        <v>2</v>
      </c>
      <c r="D8" s="10" t="inlineStr">
        <is>
          <t>有無禁止建築</t>
        </is>
      </c>
      <c r="E8" s="11" t="inlineStr">
        <is>
          <t>無</t>
        </is>
      </c>
      <c r="F8" s="8" t="n"/>
      <c r="G8" s="8" t="n"/>
      <c r="H8" s="8" t="n"/>
      <c r="I8" s="4" t="n"/>
      <c r="J8" s="12" t="n"/>
      <c r="K8" s="5" t="n"/>
      <c r="L8" s="5" t="n"/>
      <c r="M8" s="10" t="inlineStr">
        <is>
          <t>產業用水及設施</t>
        </is>
      </c>
      <c r="N8" s="11" t="inlineStr"/>
      <c r="O8" s="8" t="n"/>
      <c r="P8" s="4" t="n"/>
    </row>
    <row r="9" ht="17" customHeight="1">
      <c r="A9" s="13" t="n"/>
      <c r="B9" s="5" t="n">
        <v>1</v>
      </c>
      <c r="C9" s="5" t="n">
        <v>2</v>
      </c>
      <c r="D9" s="10" t="inlineStr">
        <is>
          <t>有無限制建築(整體開發、面積限制、高度限制)</t>
        </is>
      </c>
      <c r="E9" s="11" t="inlineStr">
        <is>
          <t>無</t>
        </is>
      </c>
      <c r="F9" s="8" t="n"/>
      <c r="G9" s="8" t="n"/>
      <c r="H9" s="8" t="n"/>
      <c r="I9" s="4" t="n"/>
      <c r="J9" s="13" t="n"/>
      <c r="K9" s="5" t="n"/>
      <c r="L9" s="5" t="n"/>
      <c r="M9" s="10" t="inlineStr">
        <is>
          <t>污廢水及廢棄物處理設施</t>
        </is>
      </c>
      <c r="N9" s="11" t="inlineStr">
        <is>
          <t>名稱：無 ○本區段內 ○本區段外(距   M)</t>
        </is>
      </c>
      <c r="O9" s="8" t="n"/>
      <c r="P9" s="4" t="n"/>
    </row>
    <row r="10" ht="17" customHeight="1">
      <c r="A10" s="9" t="inlineStr">
        <is>
          <t>交
通
運
輸</t>
        </is>
      </c>
      <c r="B10" s="5" t="n">
        <v>3</v>
      </c>
      <c r="C10" s="5" t="n">
        <v>5</v>
      </c>
      <c r="D10" s="10" t="inlineStr">
        <is>
          <t>主要道路</t>
        </is>
      </c>
      <c r="E10" s="11" t="inlineStr">
        <is>
          <t>名稱：中山路    寬度： 18 M</t>
        </is>
      </c>
      <c r="F10" s="8" t="n"/>
      <c r="G10" s="8" t="n"/>
      <c r="H10" s="8" t="n"/>
      <c r="I10" s="4" t="n"/>
      <c r="J10" s="9" t="inlineStr">
        <is>
          <t>特
殊
設
施</t>
        </is>
      </c>
      <c r="K10" s="5" t="n">
        <v>5</v>
      </c>
      <c r="L10" s="5" t="n">
        <v>5</v>
      </c>
      <c r="M10" s="10" t="inlineStr">
        <is>
          <t>變電所或高壓鐵塔</t>
        </is>
      </c>
      <c r="N10" s="11" t="inlineStr">
        <is>
          <t>名稱：金山變電所 ○本區段內 ●本區段外(距 700 M)</t>
        </is>
      </c>
      <c r="O10" s="8" t="n"/>
      <c r="P10" s="4" t="n"/>
    </row>
    <row r="11" ht="17" customHeight="1">
      <c r="A11" s="12" t="n"/>
      <c r="B11" s="5" t="n">
        <v>3</v>
      </c>
      <c r="C11" s="5" t="n">
        <v>5</v>
      </c>
      <c r="D11" s="10" t="inlineStr">
        <is>
          <t>區段內道路平均寬度  12 M</t>
        </is>
      </c>
      <c r="E11" s="11" t="inlineStr"/>
      <c r="F11" s="8" t="n"/>
      <c r="G11" s="8" t="n"/>
      <c r="H11" s="8" t="n"/>
      <c r="I11" s="4" t="n"/>
      <c r="J11" s="12" t="n"/>
      <c r="K11" s="5" t="n">
        <v>5</v>
      </c>
      <c r="L11" s="5" t="n">
        <v>5</v>
      </c>
      <c r="M11" s="10" t="inlineStr">
        <is>
          <t>瓦斯槽或儲油槽</t>
        </is>
      </c>
      <c r="N11" s="11" t="inlineStr">
        <is>
          <t>名稱：中油金山站 ○本區段內 ●本區段外(距 440 M)</t>
        </is>
      </c>
      <c r="O11" s="8" t="n"/>
      <c r="P11" s="4" t="n"/>
    </row>
    <row r="12" ht="56" customHeight="1">
      <c r="A12" s="12" t="n"/>
      <c r="B12" s="5" t="n">
        <v>1</v>
      </c>
      <c r="C12" s="5" t="n">
        <v>5</v>
      </c>
      <c r="D12" s="10" t="inlineStr">
        <is>
          <t>大型車站</t>
        </is>
      </c>
      <c r="E12" s="11" t="inlineStr">
        <is>
          <t>○ 無高鐵站 ○本區段內 ○本區段外(距   M)
○ 無火車站 ○本區段內 ○本區段外(距   M)
● 國光客運金山站 ○本區段內 ●本區段外(距 300 M)
○ 無捷運站 ○本區段內 ○本區段外(距   M)</t>
        </is>
      </c>
      <c r="F12" s="8" t="n"/>
      <c r="G12" s="8" t="n"/>
      <c r="H12" s="8" t="n"/>
      <c r="I12" s="4" t="n"/>
      <c r="J12" s="12" t="n"/>
      <c r="K12" s="5" t="n">
        <v>5</v>
      </c>
      <c r="L12" s="5" t="n">
        <v>5</v>
      </c>
      <c r="M12" s="10" t="inlineStr">
        <is>
          <t>●墓  地</t>
        </is>
      </c>
      <c r="N12" s="11" t="inlineStr">
        <is>
          <t>名稱：金山第1公墓 ○本區段內 ●本區段外(距 80 M)</t>
        </is>
      </c>
      <c r="O12" s="8" t="n"/>
      <c r="P12" s="4" t="n"/>
    </row>
    <row r="13" ht="30" customHeight="1">
      <c r="A13" s="12" t="n"/>
      <c r="B13" s="5" t="n">
        <v>1</v>
      </c>
      <c r="C13" s="5" t="n">
        <v>5</v>
      </c>
      <c r="D13" s="10" t="inlineStr">
        <is>
          <t>站牌</t>
        </is>
      </c>
      <c r="E13" s="11" t="inlineStr">
        <is>
          <t>名稱：金山區公所站 ●本區段內 ○本區段外(距  M)
密集程度： ○非常密集 ●密集 ○不密集</t>
        </is>
      </c>
      <c r="F13" s="8" t="n"/>
      <c r="G13" s="8" t="n"/>
      <c r="H13" s="8" t="n"/>
      <c r="I13" s="4" t="n"/>
      <c r="J13" s="12" t="n"/>
      <c r="K13" s="5" t="n">
        <v>5</v>
      </c>
      <c r="L13" s="5" t="n">
        <v>5</v>
      </c>
      <c r="M13" s="10" t="inlineStr">
        <is>
          <t>○殯儀館</t>
        </is>
      </c>
      <c r="N13" s="11" t="inlineStr">
        <is>
          <t>名稱：無 ○本區段內 ○本區段外(距   M)</t>
        </is>
      </c>
      <c r="O13" s="8" t="n"/>
      <c r="P13" s="4" t="n"/>
    </row>
    <row r="14" ht="17" customHeight="1">
      <c r="A14" s="12" t="n"/>
      <c r="B14" s="5" t="n">
        <v>5</v>
      </c>
      <c r="C14" s="5" t="n">
        <v>5</v>
      </c>
      <c r="D14" s="10" t="inlineStr">
        <is>
          <t>交流道</t>
        </is>
      </c>
      <c r="E14" s="11" t="inlineStr">
        <is>
          <t>名稱：無交流道 ○本區段內 ○本區段外(距   M)</t>
        </is>
      </c>
      <c r="F14" s="8" t="n"/>
      <c r="G14" s="8" t="n"/>
      <c r="H14" s="8" t="n"/>
      <c r="I14" s="4" t="n"/>
      <c r="J14" s="12" t="n"/>
      <c r="K14" s="5" t="n">
        <v>5</v>
      </c>
      <c r="L14" s="5" t="n">
        <v>5</v>
      </c>
      <c r="M14" s="10" t="inlineStr">
        <is>
          <t>○火葬場</t>
        </is>
      </c>
      <c r="N14" s="11" t="inlineStr">
        <is>
          <t>名稱：無 ○本區段內 ○本區段外(距   M)</t>
        </is>
      </c>
      <c r="O14" s="8" t="n"/>
      <c r="P14" s="4" t="n"/>
    </row>
    <row r="15" ht="17" customHeight="1">
      <c r="A15" s="12" t="n"/>
      <c r="B15" s="5" t="n"/>
      <c r="C15" s="5" t="n"/>
      <c r="D15" s="10" t="inlineStr">
        <is>
          <t>接近聚落程度</t>
        </is>
      </c>
      <c r="E15" s="11" t="inlineStr"/>
      <c r="F15" s="8" t="n"/>
      <c r="G15" s="8" t="n"/>
      <c r="H15" s="8" t="n"/>
      <c r="I15" s="4" t="n"/>
      <c r="J15" s="12" t="n"/>
      <c r="K15" s="5" t="n">
        <v>5</v>
      </c>
      <c r="L15" s="5" t="n">
        <v>5</v>
      </c>
      <c r="M15" s="10" t="inlineStr">
        <is>
          <t>●納骨塔</t>
        </is>
      </c>
      <c r="N15" s="11" t="inlineStr">
        <is>
          <t>名稱：金山區公所福緣納骨堂 ○本區段內 ●本區段外(距 750 M)</t>
        </is>
      </c>
      <c r="O15" s="8" t="n"/>
      <c r="P15" s="4" t="n"/>
    </row>
    <row r="16" ht="17" customHeight="1">
      <c r="A16" s="12" t="n"/>
      <c r="B16" s="5" t="n"/>
      <c r="C16" s="5" t="n"/>
      <c r="D16" s="10" t="inlineStr">
        <is>
          <t>接近運銷中心程度</t>
        </is>
      </c>
      <c r="E16" s="11" t="inlineStr"/>
      <c r="F16" s="8" t="n"/>
      <c r="G16" s="8" t="n"/>
      <c r="H16" s="8" t="n"/>
      <c r="I16" s="4" t="n"/>
      <c r="J16" s="12" t="n"/>
      <c r="K16" s="5" t="n">
        <v>1</v>
      </c>
      <c r="L16" s="5" t="n">
        <v>5</v>
      </c>
      <c r="M16" s="10" t="inlineStr">
        <is>
          <t>○污水處理場</t>
        </is>
      </c>
      <c r="N16" s="11" t="inlineStr">
        <is>
          <t>名稱：無 ○本區段內 ○本區段外(距   M)</t>
        </is>
      </c>
      <c r="O16" s="8" t="n"/>
      <c r="P16" s="4" t="n"/>
    </row>
    <row r="17" ht="17" customHeight="1">
      <c r="A17" s="12" t="n"/>
      <c r="B17" s="5" t="n"/>
      <c r="C17" s="5" t="n"/>
      <c r="D17" s="10" t="inlineStr">
        <is>
          <t>接近消費市場程度</t>
        </is>
      </c>
      <c r="E17" s="11" t="inlineStr"/>
      <c r="F17" s="8" t="n"/>
      <c r="G17" s="8" t="n"/>
      <c r="H17" s="8" t="n"/>
      <c r="I17" s="4" t="n"/>
      <c r="J17" s="12" t="n"/>
      <c r="K17" s="5" t="n">
        <v>1</v>
      </c>
      <c r="L17" s="5" t="n">
        <v>5</v>
      </c>
      <c r="M17" s="10" t="inlineStr">
        <is>
          <t>○垃圾場或掩埋場</t>
        </is>
      </c>
      <c r="N17" s="11" t="inlineStr">
        <is>
          <t>名稱：無 ○本區段內 ○本區段外(距   M)</t>
        </is>
      </c>
      <c r="O17" s="8" t="n"/>
      <c r="P17" s="4" t="n"/>
    </row>
    <row r="18" ht="17" customHeight="1">
      <c r="A18" s="13" t="n"/>
      <c r="B18" s="5" t="n">
        <v>1</v>
      </c>
      <c r="C18" s="5" t="n">
        <v>5</v>
      </c>
      <c r="D18" s="10" t="inlineStr">
        <is>
          <t>區段內道路規劃及闢建程度</t>
        </is>
      </c>
      <c r="E18" s="11" t="inlineStr">
        <is>
          <t>已完全開發</t>
        </is>
      </c>
      <c r="F18" s="8" t="n"/>
      <c r="G18" s="8" t="n"/>
      <c r="H18" s="8" t="n"/>
      <c r="I18" s="4" t="n"/>
      <c r="J18" s="13" t="n"/>
      <c r="K18" s="5" t="n">
        <v>1</v>
      </c>
      <c r="L18" s="5" t="n">
        <v>5</v>
      </c>
      <c r="M18" s="10" t="inlineStr">
        <is>
          <t>○焚化爐</t>
        </is>
      </c>
      <c r="N18" s="11" t="inlineStr">
        <is>
          <t>名稱：無 ○本區段內 ○本區段外(距   M)</t>
        </is>
      </c>
      <c r="O18" s="8" t="n"/>
      <c r="P18" s="4" t="n"/>
    </row>
    <row r="19" ht="17" customHeight="1">
      <c r="A19" s="9" t="inlineStr">
        <is>
          <t>自
然
條
件</t>
        </is>
      </c>
      <c r="B19" s="5" t="n"/>
      <c r="C19" s="5" t="n"/>
      <c r="D19" s="10" t="inlineStr">
        <is>
          <t>日  照</t>
        </is>
      </c>
      <c r="E19" s="11" t="inlineStr"/>
      <c r="F19" s="8" t="n"/>
      <c r="G19" s="8" t="n"/>
      <c r="H19" s="8" t="n"/>
      <c r="I19" s="4" t="n"/>
      <c r="J19" s="9" t="inlineStr">
        <is>
          <t>環
境
污
染</t>
        </is>
      </c>
      <c r="K19" s="5" t="n">
        <v>1</v>
      </c>
      <c r="L19" s="5" t="n">
        <v>5</v>
      </c>
      <c r="M19" s="10" t="inlineStr">
        <is>
          <t>○水污染</t>
        </is>
      </c>
      <c r="N19" s="11" t="inlineStr">
        <is>
          <t>名稱：無 ○本區段內 ○本區段外(距   M)</t>
        </is>
      </c>
      <c r="O19" s="8" t="n"/>
      <c r="P19" s="4" t="n"/>
    </row>
    <row r="20" ht="17" customHeight="1">
      <c r="A20" s="12" t="n"/>
      <c r="B20" s="5" t="n"/>
      <c r="C20" s="5" t="n"/>
      <c r="D20" s="10" t="inlineStr">
        <is>
          <t>景  觀</t>
        </is>
      </c>
      <c r="E20" s="11" t="inlineStr"/>
      <c r="F20" s="8" t="n"/>
      <c r="G20" s="8" t="n"/>
      <c r="H20" s="8" t="n"/>
      <c r="I20" s="4" t="n"/>
      <c r="J20" s="12" t="n"/>
      <c r="K20" s="5" t="n">
        <v>1</v>
      </c>
      <c r="L20" s="5" t="n">
        <v>5</v>
      </c>
      <c r="M20" s="10" t="inlineStr">
        <is>
          <t>○噪音污染</t>
        </is>
      </c>
      <c r="N20" s="11" t="inlineStr">
        <is>
          <t>名稱：無 ○本區段內 ○本區段外(距   M)</t>
        </is>
      </c>
      <c r="O20" s="8" t="n"/>
      <c r="P20" s="4" t="n"/>
    </row>
    <row r="21" ht="17" customHeight="1">
      <c r="A21" s="12" t="n"/>
      <c r="B21" s="5" t="n"/>
      <c r="C21" s="5" t="n"/>
      <c r="D21" s="10" t="inlineStr">
        <is>
          <t>傾 斜 度</t>
        </is>
      </c>
      <c r="E21" s="11" t="inlineStr"/>
      <c r="F21" s="8" t="n"/>
      <c r="G21" s="8" t="n"/>
      <c r="H21" s="8" t="n"/>
      <c r="I21" s="4" t="n"/>
      <c r="J21" s="12" t="n"/>
      <c r="K21" s="5" t="n">
        <v>1</v>
      </c>
      <c r="L21" s="5" t="n">
        <v>5</v>
      </c>
      <c r="M21" s="10" t="inlineStr">
        <is>
          <t>○廢氣污染</t>
        </is>
      </c>
      <c r="N21" s="11" t="inlineStr">
        <is>
          <t>名稱：無 ○本區段內 ○本區段外(距   M)</t>
        </is>
      </c>
      <c r="O21" s="8" t="n"/>
      <c r="P21" s="4" t="n"/>
    </row>
    <row r="22" ht="17" customHeight="1">
      <c r="A22" s="12" t="n"/>
      <c r="B22" s="5" t="n">
        <v>2</v>
      </c>
      <c r="C22" s="5" t="n">
        <v>5</v>
      </c>
      <c r="D22" s="10" t="inlineStr">
        <is>
          <t>保（排）水之良否</t>
        </is>
      </c>
      <c r="E22" s="11" t="inlineStr">
        <is>
          <t>有排水系統不易淹水</t>
        </is>
      </c>
      <c r="F22" s="8" t="n"/>
      <c r="G22" s="8" t="n"/>
      <c r="H22" s="8" t="n"/>
      <c r="I22" s="4" t="n"/>
      <c r="J22" s="12" t="n"/>
      <c r="K22" s="5" t="n">
        <v>1</v>
      </c>
      <c r="L22" s="5" t="n">
        <v>5</v>
      </c>
      <c r="M22" s="10" t="inlineStr">
        <is>
          <t>○廢棄物污染</t>
        </is>
      </c>
      <c r="N22" s="11" t="inlineStr">
        <is>
          <t>名稱：無 ○本區段內 ○本區段外(距   M)</t>
        </is>
      </c>
      <c r="O22" s="8" t="n"/>
      <c r="P22" s="4" t="n"/>
    </row>
    <row r="23" ht="17" customHeight="1">
      <c r="A23" s="12" t="n"/>
      <c r="B23" s="5" t="n">
        <v>1</v>
      </c>
      <c r="C23" s="5" t="n">
        <v>5</v>
      </c>
      <c r="D23" s="10" t="inlineStr">
        <is>
          <t>地  勢</t>
        </is>
      </c>
      <c r="E23" s="11" t="inlineStr">
        <is>
          <t>該區地勢平坦</t>
        </is>
      </c>
      <c r="F23" s="8" t="n"/>
      <c r="G23" s="8" t="n"/>
      <c r="H23" s="8" t="n"/>
      <c r="I23" s="4" t="n"/>
      <c r="J23" s="13" t="n"/>
      <c r="K23" s="5" t="n">
        <v>1</v>
      </c>
      <c r="L23" s="5" t="n">
        <v>5</v>
      </c>
      <c r="M23" s="10" t="inlineStr">
        <is>
          <t>○其他污染</t>
        </is>
      </c>
      <c r="N23" s="11" t="inlineStr">
        <is>
          <t>名稱：無 ○本區段內 ○本區段外(距   M)</t>
        </is>
      </c>
      <c r="O23" s="8" t="n"/>
      <c r="P23" s="4" t="n"/>
    </row>
    <row r="24" ht="30" customHeight="1">
      <c r="A24" s="12" t="n"/>
      <c r="B24" s="5" t="n"/>
      <c r="C24" s="5" t="n"/>
      <c r="D24" s="10" t="inlineStr">
        <is>
          <t>風  勢</t>
        </is>
      </c>
      <c r="E24" s="11" t="inlineStr"/>
      <c r="F24" s="8" t="n"/>
      <c r="G24" s="8" t="n"/>
      <c r="H24" s="8" t="n"/>
      <c r="I24" s="4" t="n"/>
      <c r="J24" s="9" t="inlineStr">
        <is>
          <t>工
商
活
動</t>
        </is>
      </c>
      <c r="K24" s="5" t="n">
        <v>5</v>
      </c>
      <c r="L24" s="5" t="n">
        <v>5</v>
      </c>
      <c r="M24" s="10" t="inlineStr">
        <is>
          <t>百貨公司</t>
        </is>
      </c>
      <c r="N24" s="11" t="inlineStr">
        <is>
          <t>名稱：無  數量:
○本區段內 ○本區段外(距   M)</t>
        </is>
      </c>
      <c r="O24" s="8" t="n"/>
      <c r="P24" s="4" t="n"/>
    </row>
    <row r="25" ht="30" customHeight="1">
      <c r="A25" s="13" t="n"/>
      <c r="B25" s="5" t="n"/>
      <c r="C25" s="5" t="n"/>
      <c r="D25" s="10" t="inlineStr">
        <is>
          <t>土  質</t>
        </is>
      </c>
      <c r="E25" s="11" t="inlineStr"/>
      <c r="F25" s="8" t="n"/>
      <c r="G25" s="8" t="n"/>
      <c r="H25" s="8" t="n"/>
      <c r="I25" s="4" t="n"/>
      <c r="J25" s="12" t="n"/>
      <c r="K25" s="5" t="n">
        <v>2</v>
      </c>
      <c r="L25" s="5" t="n">
        <v>5</v>
      </c>
      <c r="M25" s="10" t="inlineStr">
        <is>
          <t>金融機構</t>
        </is>
      </c>
      <c r="N25" s="11" t="inlineStr">
        <is>
          <t>名稱：新北市金山地區農會  數量:1
○本區段內 ●本區段外(距 210 M)</t>
        </is>
      </c>
      <c r="O25" s="8" t="n"/>
      <c r="P25" s="4" t="n"/>
    </row>
    <row r="26" ht="30" customHeight="1">
      <c r="A26" s="9" t="inlineStr">
        <is>
          <t>土
地
改
良</t>
        </is>
      </c>
      <c r="B26" s="5" t="n"/>
      <c r="C26" s="5" t="n"/>
      <c r="D26" s="10" t="inlineStr">
        <is>
          <t>建築基地改良</t>
        </is>
      </c>
      <c r="E26" s="11" t="inlineStr">
        <is>
          <t>□整平或填挖基地 □開挖水溝 □水土保持 □鋪築道路 □埋設管道 □修築駁嵌 □其他＿＿</t>
        </is>
      </c>
      <c r="F26" s="8" t="n"/>
      <c r="G26" s="8" t="n"/>
      <c r="H26" s="8" t="n"/>
      <c r="I26" s="4" t="n"/>
      <c r="J26" s="12" t="n"/>
      <c r="K26" s="5" t="n">
        <v>5</v>
      </c>
      <c r="L26" s="5" t="n">
        <v>5</v>
      </c>
      <c r="M26" s="10" t="inlineStr">
        <is>
          <t>娛樂設施</t>
        </is>
      </c>
      <c r="N26" s="11" t="inlineStr">
        <is>
          <t>名稱：無  數量:
○本區段內 ○本區段外(距   M)</t>
        </is>
      </c>
      <c r="O26" s="8" t="n"/>
      <c r="P26" s="4" t="n"/>
    </row>
    <row r="27" ht="30" customHeight="1">
      <c r="A27" s="13" t="n"/>
      <c r="B27" s="5" t="n"/>
      <c r="C27" s="5" t="n"/>
      <c r="D27" s="10" t="inlineStr">
        <is>
          <t>農地改良</t>
        </is>
      </c>
      <c r="E27" s="11" t="inlineStr">
        <is>
          <t>□耕地整理 □水土保持 □土壤改良 □修築農路 □灌溉 □排水 □防風 □防砂 □堤防 □其他＿＿</t>
        </is>
      </c>
      <c r="F27" s="8" t="n"/>
      <c r="G27" s="8" t="n"/>
      <c r="H27" s="8" t="n"/>
      <c r="I27" s="4" t="n"/>
      <c r="J27" s="12" t="n"/>
      <c r="K27" s="5" t="n">
        <v>3</v>
      </c>
      <c r="L27" s="5" t="n">
        <v>5</v>
      </c>
      <c r="M27" s="10" t="inlineStr">
        <is>
          <t>大型展示中心或觀光飯店</t>
        </is>
      </c>
      <c r="N27" s="11" t="inlineStr">
        <is>
          <t>名稱：新北北海溫泉洲際酒店  數量:1
○本區段內 ●本區段外(距 850 M)</t>
        </is>
      </c>
      <c r="O27" s="8" t="n"/>
      <c r="P27" s="4" t="n"/>
    </row>
    <row r="28" ht="56" customHeight="1">
      <c r="A28" s="9" t="inlineStr">
        <is>
          <t>公
共
建
設</t>
        </is>
      </c>
      <c r="B28" s="5" t="n"/>
      <c r="C28" s="5" t="n"/>
      <c r="D28" s="10" t="inlineStr">
        <is>
          <t>學  校</t>
        </is>
      </c>
      <c r="E28" s="11" t="inlineStr">
        <is>
          <t>○ 國小 ○本區段內 ○本區段外(距   M)
○ 國中 ○本區段內 ○本區段外(距   M)
○ 高中 ○本區段內 ○本區段外(距   M)
○ 大專院校 ○本區段內 ○本區段外(距   M)</t>
        </is>
      </c>
      <c r="F28" s="8" t="n"/>
      <c r="G28" s="8" t="n"/>
      <c r="H28" s="8" t="n"/>
      <c r="I28" s="4" t="n"/>
      <c r="J28" s="12" t="n"/>
      <c r="K28" s="5" t="n">
        <v>1</v>
      </c>
      <c r="L28" s="5" t="n">
        <v>5</v>
      </c>
      <c r="M28" s="10" t="inlineStr">
        <is>
          <t>顧客之通行量</t>
        </is>
      </c>
      <c r="N28" s="11" t="inlineStr">
        <is>
          <t>顧客通行量多</t>
        </is>
      </c>
      <c r="O28" s="8" t="n"/>
      <c r="P28" s="4" t="n"/>
    </row>
    <row r="29" ht="43" customHeight="1">
      <c r="A29" s="12" t="n"/>
      <c r="B29" s="5" t="n">
        <v>1</v>
      </c>
      <c r="C29" s="5" t="n">
        <v>5</v>
      </c>
      <c r="D29" s="10" t="inlineStr">
        <is>
          <t>市  場</t>
        </is>
      </c>
      <c r="E29" s="11" t="inlineStr">
        <is>
          <t>● 金山區第一零售傳統市場 ●本區段內 ○本區段外(距  M)
○ 超級市場 ○本區段內 ○本區段外(距   M)
○ 超大型購物中心 ○本區段內 ○本區段外(距   M)</t>
        </is>
      </c>
      <c r="F29" s="8" t="n"/>
      <c r="G29" s="8" t="n"/>
      <c r="H29" s="8" t="n"/>
      <c r="I29" s="4" t="n"/>
      <c r="J29" s="13" t="n"/>
      <c r="K29" s="5" t="n">
        <v>1</v>
      </c>
      <c r="L29" s="5" t="n">
        <v>5</v>
      </c>
      <c r="M29" s="10" t="inlineStr">
        <is>
          <t>店鋪之毗連狀態</t>
        </is>
      </c>
      <c r="N29" s="11" t="inlineStr">
        <is>
          <t>90%以上作為店舖</t>
        </is>
      </c>
      <c r="O29" s="8" t="n"/>
      <c r="P29" s="4" t="n"/>
    </row>
    <row r="30" ht="43" customHeight="1">
      <c r="A30" s="13" t="n"/>
      <c r="B30" s="5" t="n">
        <v>1</v>
      </c>
      <c r="C30" s="5" t="n">
        <v>5</v>
      </c>
      <c r="D30" s="10" t="inlineStr">
        <is>
          <t>公 園
廣 場
徒步區</t>
        </is>
      </c>
      <c r="E30" s="11" t="inlineStr">
        <is>
          <t>● 中山溫泉里鄰公園 ●本區段內 ○本區段外(距  M)
○ 一般公園 ○本區段內 ○本區段外(距   M)
○ 廣場.徒步區 ○本區段內 ○本區段外(距   M)</t>
        </is>
      </c>
      <c r="F30" s="8" t="n"/>
      <c r="G30" s="8" t="n"/>
      <c r="H30" s="8" t="n"/>
      <c r="I30" s="4" t="n"/>
      <c r="J30" s="9" t="inlineStr">
        <is>
          <t>其
他
影
響
因
素</t>
        </is>
      </c>
      <c r="K30" s="5" t="n"/>
      <c r="L30" s="5" t="n"/>
      <c r="M30" s="10" t="inlineStr"/>
      <c r="N30" s="11" t="inlineStr"/>
      <c r="O30" s="8" t="n"/>
      <c r="P30" s="4" t="n"/>
    </row>
    <row r="31" ht="17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9" t="inlineStr">
        <is>
          <t>房
屋
建
築
現
況</t>
        </is>
      </c>
      <c r="K31" s="5" t="n"/>
      <c r="L31" s="5" t="n"/>
      <c r="M31" s="10" t="inlineStr">
        <is>
          <t>建築密度</t>
        </is>
      </c>
      <c r="N31" s="11" t="inlineStr"/>
      <c r="O31" s="8" t="n"/>
      <c r="P31" s="4" t="n"/>
    </row>
    <row r="32" ht="17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13" t="n"/>
      <c r="K32" s="5" t="n"/>
      <c r="L32" s="5" t="n"/>
      <c r="M32" s="10" t="inlineStr">
        <is>
          <t>建築型態</t>
        </is>
      </c>
      <c r="N32" s="11" t="inlineStr"/>
      <c r="O32" s="8" t="n"/>
      <c r="P32" s="4" t="n"/>
    </row>
    <row r="33" ht="17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9" t="inlineStr">
        <is>
          <t>土
地
利
用
現
況</t>
        </is>
      </c>
      <c r="K33" s="5" t="n"/>
      <c r="L33" s="5" t="n"/>
      <c r="M33" s="10" t="inlineStr"/>
      <c r="N33" s="11" t="inlineStr">
        <is>
          <t>○商業用 ○住宅用 ○工業用 ○住商混合 ○住工混合 ○農作用 ○漁牧用 ○空地 ○公共設施 ○其他＿＿</t>
        </is>
      </c>
      <c r="O33" s="8" t="n"/>
      <c r="P33" s="4" t="n"/>
    </row>
    <row r="35">
      <c r="A35" s="14" t="inlineStr">
        <is>
          <t>勘查日期：114-09-18</t>
        </is>
      </c>
      <c r="E35" s="14" t="inlineStr">
        <is>
          <t>承辦員：</t>
        </is>
      </c>
      <c r="I35" s="14" t="inlineStr">
        <is>
          <t>課（股）長：</t>
        </is>
      </c>
      <c r="M35" s="14" t="inlineStr">
        <is>
          <t>主任（局、處長）：</t>
        </is>
      </c>
    </row>
    <row r="38">
      <c r="M38" s="14" t="inlineStr">
        <is>
          <t>不動產估價師：</t>
        </is>
      </c>
    </row>
  </sheetData>
  <mergeCells count="72">
    <mergeCell ref="E21:I21"/>
    <mergeCell ref="E12:I12"/>
    <mergeCell ref="N33:P33"/>
    <mergeCell ref="N18:P18"/>
    <mergeCell ref="E24:I24"/>
    <mergeCell ref="N14:P14"/>
    <mergeCell ref="J3:P3"/>
    <mergeCell ref="N5:P5"/>
    <mergeCell ref="N17:P17"/>
    <mergeCell ref="N23:P23"/>
    <mergeCell ref="E5:I5"/>
    <mergeCell ref="E23:I23"/>
    <mergeCell ref="N8:P8"/>
    <mergeCell ref="E8:I8"/>
    <mergeCell ref="E14:I14"/>
    <mergeCell ref="E17:I17"/>
    <mergeCell ref="F3:G3"/>
    <mergeCell ref="N29:P29"/>
    <mergeCell ref="E29:I29"/>
    <mergeCell ref="E4:I4"/>
    <mergeCell ref="N19:P19"/>
    <mergeCell ref="E20:I20"/>
    <mergeCell ref="N10:P10"/>
    <mergeCell ref="N28:P28"/>
    <mergeCell ref="A26:A27"/>
    <mergeCell ref="E10:I10"/>
    <mergeCell ref="E28:I28"/>
    <mergeCell ref="A28:A30"/>
    <mergeCell ref="N13:P13"/>
    <mergeCell ref="E13:I13"/>
    <mergeCell ref="E19:I19"/>
    <mergeCell ref="N9:P9"/>
    <mergeCell ref="N31:P31"/>
    <mergeCell ref="J24:J29"/>
    <mergeCell ref="A3:B3"/>
    <mergeCell ref="A10:A18"/>
    <mergeCell ref="N6:P6"/>
    <mergeCell ref="E9:I9"/>
    <mergeCell ref="N30:P30"/>
    <mergeCell ref="N15:P15"/>
    <mergeCell ref="E30:I30"/>
    <mergeCell ref="E15:I15"/>
    <mergeCell ref="N24:P24"/>
    <mergeCell ref="E6:I6"/>
    <mergeCell ref="J4:J9"/>
    <mergeCell ref="A19:A25"/>
    <mergeCell ref="N27:P27"/>
    <mergeCell ref="E11:I11"/>
    <mergeCell ref="E27:I27"/>
    <mergeCell ref="J19:J23"/>
    <mergeCell ref="N4:P4"/>
    <mergeCell ref="J31:J32"/>
    <mergeCell ref="N20:P20"/>
    <mergeCell ref="N26:P26"/>
    <mergeCell ref="E26:I26"/>
    <mergeCell ref="H3:I3"/>
    <mergeCell ref="N11:P11"/>
    <mergeCell ref="N7:P7"/>
    <mergeCell ref="J10:J18"/>
    <mergeCell ref="N25:P25"/>
    <mergeCell ref="E7:I7"/>
    <mergeCell ref="A4:A9"/>
    <mergeCell ref="N16:P16"/>
    <mergeCell ref="N32:P32"/>
    <mergeCell ref="E16:I16"/>
    <mergeCell ref="N12:P12"/>
    <mergeCell ref="N22:P22"/>
    <mergeCell ref="E25:I25"/>
    <mergeCell ref="N21:P21"/>
    <mergeCell ref="E22:I22"/>
    <mergeCell ref="C3:D3"/>
    <mergeCell ref="E18:I18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4" customWidth="1" min="3" max="3"/>
    <col width="7" customWidth="1" min="4" max="4"/>
    <col width="4" customWidth="1" min="5" max="5"/>
    <col width="7" customWidth="1" min="6" max="6"/>
    <col width="9" customWidth="1" min="7" max="7"/>
    <col width="4" customWidth="1" min="8" max="8"/>
    <col width="7" customWidth="1" min="9" max="9"/>
    <col width="9" customWidth="1" min="10" max="10"/>
    <col width="4" customWidth="1" min="11" max="11"/>
    <col width="7" customWidth="1" min="12" max="12"/>
    <col width="9" customWidth="1" min="13" max="13"/>
  </cols>
  <sheetData>
    <row r="1">
      <c r="A1" s="1" t="inlineStr">
        <is>
          <t>表5-2  影響地價區域因素分析明細表（商業用地）</t>
        </is>
      </c>
    </row>
    <row r="2">
      <c r="A2" s="15" t="inlineStr">
        <is>
          <t>案號：1140901-99-001</t>
        </is>
      </c>
      <c r="B2" s="4" t="n"/>
      <c r="C2" s="3" t="inlineStr">
        <is>
          <t>比準地</t>
        </is>
      </c>
      <c r="D2" s="4" t="n"/>
      <c r="E2" s="3" t="inlineStr">
        <is>
          <t>比較
標的1</t>
        </is>
      </c>
      <c r="F2" s="3" t="inlineStr">
        <is>
          <t>實例編號 1</t>
        </is>
      </c>
      <c r="G2" s="4" t="n"/>
      <c r="H2" s="3" t="inlineStr">
        <is>
          <t>比較
標的2</t>
        </is>
      </c>
      <c r="I2" s="3" t="inlineStr">
        <is>
          <t xml:space="preserve">實例編號 </t>
        </is>
      </c>
      <c r="J2" s="4" t="n"/>
      <c r="K2" s="3" t="inlineStr">
        <is>
          <t>比較
標的3</t>
        </is>
      </c>
      <c r="L2" s="3" t="inlineStr">
        <is>
          <t xml:space="preserve">實例編號 </t>
        </is>
      </c>
      <c r="M2" s="4" t="n"/>
    </row>
    <row r="3">
      <c r="A3" s="3" t="inlineStr">
        <is>
          <t>地價區段號</t>
        </is>
      </c>
      <c r="B3" s="4" t="n"/>
      <c r="C3" s="5" t="inlineStr">
        <is>
          <t>P002-00</t>
        </is>
      </c>
      <c r="D3" s="4" t="n"/>
      <c r="E3" s="5" t="inlineStr">
        <is>
          <t>P002-00</t>
        </is>
      </c>
      <c r="F3" s="8" t="n"/>
      <c r="G3" s="4" t="n"/>
      <c r="H3" s="5" t="inlineStr"/>
      <c r="I3" s="8" t="n"/>
      <c r="J3" s="4" t="n"/>
      <c r="K3" s="5" t="inlineStr"/>
      <c r="L3" s="8" t="n"/>
      <c r="M3" s="4" t="n"/>
    </row>
    <row r="4">
      <c r="A4" s="3" t="inlineStr">
        <is>
          <t>主要項目</t>
        </is>
      </c>
      <c r="B4" s="3" t="inlineStr">
        <is>
          <t>修正細項</t>
        </is>
      </c>
      <c r="C4" s="3" t="inlineStr">
        <is>
          <t>優劣等級</t>
        </is>
      </c>
      <c r="D4" s="4" t="n"/>
      <c r="E4" s="3" t="inlineStr">
        <is>
          <t>優劣等級</t>
        </is>
      </c>
      <c r="F4" s="4" t="n"/>
      <c r="G4" s="3" t="inlineStr">
        <is>
          <t>修正百分比</t>
        </is>
      </c>
      <c r="H4" s="3" t="inlineStr">
        <is>
          <t>優劣等級</t>
        </is>
      </c>
      <c r="I4" s="4" t="n"/>
      <c r="J4" s="3" t="inlineStr">
        <is>
          <t>修正百分比</t>
        </is>
      </c>
      <c r="K4" s="3" t="inlineStr">
        <is>
          <t>優劣等級</t>
        </is>
      </c>
      <c r="L4" s="4" t="n"/>
      <c r="M4" s="3" t="inlineStr">
        <is>
          <t>修正百分比</t>
        </is>
      </c>
    </row>
    <row r="5">
      <c r="A5" s="3" t="inlineStr">
        <is>
          <t>土地使用管制(1)</t>
        </is>
      </c>
      <c r="B5" s="16" t="inlineStr">
        <is>
          <t>都市計畫（內、外）</t>
        </is>
      </c>
      <c r="C5" s="5" t="n">
        <v>1</v>
      </c>
      <c r="D5" s="5" t="inlineStr">
        <is>
          <t>優</t>
        </is>
      </c>
      <c r="E5" s="5" t="n">
        <v>1</v>
      </c>
      <c r="F5" s="5" t="inlineStr">
        <is>
          <t>優</t>
        </is>
      </c>
      <c r="G5" s="17" t="n">
        <v>0</v>
      </c>
      <c r="H5" s="5" t="n"/>
      <c r="I5" s="5" t="n"/>
      <c r="J5" s="5" t="n"/>
      <c r="K5" s="5" t="n"/>
      <c r="L5" s="5" t="n"/>
      <c r="M5" s="5" t="n"/>
    </row>
    <row r="6">
      <c r="A6" s="12" t="n"/>
      <c r="B6" s="16" t="inlineStr">
        <is>
          <t>使用分區(使用地類別)</t>
        </is>
      </c>
      <c r="C6" s="5" t="n">
        <v>1</v>
      </c>
      <c r="D6" s="5" t="inlineStr">
        <is>
          <t>優</t>
        </is>
      </c>
      <c r="E6" s="5" t="n">
        <v>1</v>
      </c>
      <c r="F6" s="5" t="inlineStr">
        <is>
          <t>優</t>
        </is>
      </c>
      <c r="G6" s="17" t="n">
        <v>0</v>
      </c>
      <c r="H6" s="5" t="n"/>
      <c r="I6" s="5" t="n"/>
      <c r="J6" s="5" t="n"/>
      <c r="K6" s="5" t="n"/>
      <c r="L6" s="5" t="n"/>
      <c r="M6" s="5" t="n"/>
    </row>
    <row r="7">
      <c r="A7" s="12" t="n"/>
      <c r="B7" s="16" t="inlineStr">
        <is>
          <t>建蔽率</t>
        </is>
      </c>
      <c r="C7" s="5" t="n">
        <v>1</v>
      </c>
      <c r="D7" s="5" t="inlineStr">
        <is>
          <t>優</t>
        </is>
      </c>
      <c r="E7" s="5" t="n">
        <v>1</v>
      </c>
      <c r="F7" s="5" t="inlineStr">
        <is>
          <t>優</t>
        </is>
      </c>
      <c r="G7" s="17" t="n">
        <v>0</v>
      </c>
      <c r="H7" s="5" t="n"/>
      <c r="I7" s="5" t="n"/>
      <c r="J7" s="5" t="n"/>
      <c r="K7" s="5" t="n"/>
      <c r="L7" s="5" t="n"/>
      <c r="M7" s="5" t="n"/>
    </row>
    <row r="8">
      <c r="A8" s="12" t="n"/>
      <c r="B8" s="16" t="inlineStr">
        <is>
          <t>容積率</t>
        </is>
      </c>
      <c r="C8" s="5" t="n">
        <v>1</v>
      </c>
      <c r="D8" s="5" t="inlineStr">
        <is>
          <t>優</t>
        </is>
      </c>
      <c r="E8" s="5" t="n">
        <v>1</v>
      </c>
      <c r="F8" s="5" t="inlineStr">
        <is>
          <t>優</t>
        </is>
      </c>
      <c r="G8" s="17" t="n">
        <v>0</v>
      </c>
      <c r="H8" s="5" t="n"/>
      <c r="I8" s="5" t="n"/>
      <c r="J8" s="5" t="n"/>
      <c r="K8" s="5" t="n"/>
      <c r="L8" s="5" t="n"/>
      <c r="M8" s="5" t="n"/>
    </row>
    <row r="9">
      <c r="A9" s="12" t="n"/>
      <c r="B9" s="16" t="inlineStr">
        <is>
          <t>有無禁止建築</t>
        </is>
      </c>
      <c r="C9" s="5" t="n">
        <v>1</v>
      </c>
      <c r="D9" s="5" t="inlineStr">
        <is>
          <t>無</t>
        </is>
      </c>
      <c r="E9" s="5" t="n">
        <v>1</v>
      </c>
      <c r="F9" s="5" t="inlineStr">
        <is>
          <t>無</t>
        </is>
      </c>
      <c r="G9" s="17" t="n">
        <v>0</v>
      </c>
      <c r="H9" s="5" t="n"/>
      <c r="I9" s="5" t="n"/>
      <c r="J9" s="5" t="n"/>
      <c r="K9" s="5" t="n"/>
      <c r="L9" s="5" t="n"/>
      <c r="M9" s="5" t="n"/>
    </row>
    <row r="10">
      <c r="A10" s="12" t="n"/>
      <c r="B10" s="16" t="inlineStr">
        <is>
          <t>有無限制建築（整體開發、面積限制、高度限制……等）</t>
        </is>
      </c>
      <c r="C10" s="5" t="n">
        <v>1</v>
      </c>
      <c r="D10" s="5" t="inlineStr">
        <is>
          <t>無</t>
        </is>
      </c>
      <c r="E10" s="5" t="n">
        <v>1</v>
      </c>
      <c r="F10" s="5" t="inlineStr">
        <is>
          <t>無</t>
        </is>
      </c>
      <c r="G10" s="17" t="n">
        <v>0</v>
      </c>
      <c r="H10" s="5" t="n"/>
      <c r="I10" s="5" t="n"/>
      <c r="J10" s="5" t="n"/>
      <c r="K10" s="5" t="n"/>
      <c r="L10" s="5" t="n"/>
      <c r="M10" s="5" t="n"/>
    </row>
    <row r="11">
      <c r="A11" s="13" t="n"/>
      <c r="B11" s="15" t="inlineStr">
        <is>
          <t>百分比小計</t>
        </is>
      </c>
      <c r="C11" s="5" t="n"/>
      <c r="D11" s="5" t="n"/>
      <c r="E11" s="18" t="n">
        <v>0</v>
      </c>
      <c r="F11" s="8" t="n"/>
      <c r="G11" s="4" t="n"/>
      <c r="H11" s="18" t="inlineStr"/>
      <c r="I11" s="8" t="n"/>
      <c r="J11" s="4" t="n"/>
      <c r="K11" s="18" t="inlineStr"/>
      <c r="L11" s="8" t="n"/>
      <c r="M11" s="4" t="n"/>
    </row>
    <row r="12">
      <c r="A12" s="3" t="inlineStr">
        <is>
          <t>交通運輸(2)</t>
        </is>
      </c>
      <c r="B12" s="16" t="inlineStr">
        <is>
          <t>主要道路寬度</t>
        </is>
      </c>
      <c r="C12" s="5" t="n">
        <v>3</v>
      </c>
      <c r="D12" s="5" t="inlineStr">
        <is>
          <t>普通</t>
        </is>
      </c>
      <c r="E12" s="5" t="n">
        <v>3</v>
      </c>
      <c r="F12" s="5" t="inlineStr">
        <is>
          <t>普通</t>
        </is>
      </c>
      <c r="G12" s="17" t="n">
        <v>0</v>
      </c>
      <c r="H12" s="5" t="n"/>
      <c r="I12" s="5" t="n"/>
      <c r="J12" s="5" t="n"/>
      <c r="K12" s="5" t="n"/>
      <c r="L12" s="5" t="n"/>
      <c r="M12" s="5" t="n"/>
    </row>
    <row r="13">
      <c r="A13" s="12" t="n"/>
      <c r="B13" s="16" t="inlineStr">
        <is>
          <t>區段內道路平均寬度</t>
        </is>
      </c>
      <c r="C13" s="5" t="n">
        <v>3</v>
      </c>
      <c r="D13" s="5" t="inlineStr">
        <is>
          <t>普通</t>
        </is>
      </c>
      <c r="E13" s="5" t="n">
        <v>3</v>
      </c>
      <c r="F13" s="5" t="inlineStr">
        <is>
          <t>普通</t>
        </is>
      </c>
      <c r="G13" s="17" t="n">
        <v>0</v>
      </c>
      <c r="H13" s="5" t="n"/>
      <c r="I13" s="5" t="n"/>
      <c r="J13" s="5" t="n"/>
      <c r="K13" s="5" t="n"/>
      <c r="L13" s="5" t="n"/>
      <c r="M13" s="5" t="n"/>
    </row>
    <row r="14">
      <c r="A14" s="12" t="n"/>
      <c r="B14" s="16" t="inlineStr">
        <is>
          <t>接近大型車站之程度</t>
        </is>
      </c>
      <c r="C14" s="5" t="n">
        <v>1</v>
      </c>
      <c r="D14" s="5" t="inlineStr">
        <is>
          <t>優</t>
        </is>
      </c>
      <c r="E14" s="5" t="n">
        <v>1</v>
      </c>
      <c r="F14" s="5" t="inlineStr">
        <is>
          <t>優</t>
        </is>
      </c>
      <c r="G14" s="17" t="n">
        <v>0</v>
      </c>
      <c r="H14" s="5" t="n"/>
      <c r="I14" s="5" t="n"/>
      <c r="J14" s="5" t="n"/>
      <c r="K14" s="5" t="n"/>
      <c r="L14" s="5" t="n"/>
      <c r="M14" s="5" t="n"/>
    </row>
    <row r="15">
      <c r="A15" s="12" t="n"/>
      <c r="B15" s="16" t="inlineStr">
        <is>
          <t>站牌之接近程度或密集程度</t>
        </is>
      </c>
      <c r="C15" s="5" t="n">
        <v>1</v>
      </c>
      <c r="D15" s="5" t="inlineStr">
        <is>
          <t>優</t>
        </is>
      </c>
      <c r="E15" s="5" t="n">
        <v>1</v>
      </c>
      <c r="F15" s="5" t="inlineStr">
        <is>
          <t>優</t>
        </is>
      </c>
      <c r="G15" s="17" t="n">
        <v>0</v>
      </c>
      <c r="H15" s="5" t="n"/>
      <c r="I15" s="5" t="n"/>
      <c r="J15" s="5" t="n"/>
      <c r="K15" s="5" t="n"/>
      <c r="L15" s="5" t="n"/>
      <c r="M15" s="5" t="n"/>
    </row>
    <row r="16">
      <c r="A16" s="12" t="n"/>
      <c r="B16" s="16" t="inlineStr">
        <is>
          <t>交流道之有無及接近交流道之程度</t>
        </is>
      </c>
      <c r="C16" s="5" t="n">
        <v>5</v>
      </c>
      <c r="D16" s="5" t="inlineStr">
        <is>
          <t>劣</t>
        </is>
      </c>
      <c r="E16" s="5" t="n">
        <v>5</v>
      </c>
      <c r="F16" s="5" t="inlineStr">
        <is>
          <t>劣</t>
        </is>
      </c>
      <c r="G16" s="17" t="n">
        <v>0</v>
      </c>
      <c r="H16" s="5" t="n"/>
      <c r="I16" s="5" t="n"/>
      <c r="J16" s="5" t="n"/>
      <c r="K16" s="5" t="n"/>
      <c r="L16" s="5" t="n"/>
      <c r="M16" s="5" t="n"/>
    </row>
    <row r="17">
      <c r="A17" s="12" t="n"/>
      <c r="B17" s="16" t="inlineStr">
        <is>
          <t>區段內道路規劃及闢建程度</t>
        </is>
      </c>
      <c r="C17" s="5" t="n">
        <v>1</v>
      </c>
      <c r="D17" s="5" t="inlineStr">
        <is>
          <t>優</t>
        </is>
      </c>
      <c r="E17" s="5" t="n">
        <v>1</v>
      </c>
      <c r="F17" s="5" t="inlineStr">
        <is>
          <t>優</t>
        </is>
      </c>
      <c r="G17" s="17" t="n">
        <v>0</v>
      </c>
      <c r="H17" s="5" t="n"/>
      <c r="I17" s="5" t="n"/>
      <c r="J17" s="5" t="n"/>
      <c r="K17" s="5" t="n"/>
      <c r="L17" s="5" t="n"/>
      <c r="M17" s="5" t="n"/>
    </row>
    <row r="18">
      <c r="A18" s="13" t="n"/>
      <c r="B18" s="15" t="inlineStr">
        <is>
          <t>百分比小計</t>
        </is>
      </c>
      <c r="C18" s="5" t="n"/>
      <c r="D18" s="5" t="n"/>
      <c r="E18" s="18" t="n">
        <v>0</v>
      </c>
      <c r="F18" s="8" t="n"/>
      <c r="G18" s="4" t="n"/>
      <c r="H18" s="18" t="inlineStr"/>
      <c r="I18" s="8" t="n"/>
      <c r="J18" s="4" t="n"/>
      <c r="K18" s="18" t="inlineStr"/>
      <c r="L18" s="8" t="n"/>
      <c r="M18" s="4" t="n"/>
    </row>
    <row r="19">
      <c r="A19" s="3" t="inlineStr">
        <is>
          <t>自然條件(3)</t>
        </is>
      </c>
      <c r="B19" s="16" t="inlineStr">
        <is>
          <t>排水之良否</t>
        </is>
      </c>
      <c r="C19" s="5" t="n">
        <v>2</v>
      </c>
      <c r="D19" s="5" t="inlineStr">
        <is>
          <t>稍優</t>
        </is>
      </c>
      <c r="E19" s="5" t="n">
        <v>2</v>
      </c>
      <c r="F19" s="5" t="inlineStr">
        <is>
          <t>稍優</t>
        </is>
      </c>
      <c r="G19" s="17" t="n">
        <v>0</v>
      </c>
      <c r="H19" s="5" t="n"/>
      <c r="I19" s="5" t="n"/>
      <c r="J19" s="5" t="n"/>
      <c r="K19" s="5" t="n"/>
      <c r="L19" s="5" t="n"/>
      <c r="M19" s="5" t="n"/>
    </row>
    <row r="20">
      <c r="A20" s="12" t="n"/>
      <c r="B20" s="16" t="inlineStr">
        <is>
          <t>地勢</t>
        </is>
      </c>
      <c r="C20" s="5" t="n">
        <v>1</v>
      </c>
      <c r="D20" s="5" t="inlineStr">
        <is>
          <t>優</t>
        </is>
      </c>
      <c r="E20" s="5" t="n">
        <v>1</v>
      </c>
      <c r="F20" s="5" t="inlineStr">
        <is>
          <t>優</t>
        </is>
      </c>
      <c r="G20" s="17" t="n">
        <v>0</v>
      </c>
      <c r="H20" s="5" t="n"/>
      <c r="I20" s="5" t="n"/>
      <c r="J20" s="5" t="n"/>
      <c r="K20" s="5" t="n"/>
      <c r="L20" s="5" t="n"/>
      <c r="M20" s="5" t="n"/>
    </row>
    <row r="21">
      <c r="A21" s="13" t="n"/>
      <c r="B21" s="15" t="inlineStr">
        <is>
          <t>百分比小計</t>
        </is>
      </c>
      <c r="C21" s="5" t="n"/>
      <c r="D21" s="5" t="n"/>
      <c r="E21" s="18" t="n">
        <v>0</v>
      </c>
      <c r="F21" s="8" t="n"/>
      <c r="G21" s="4" t="n"/>
      <c r="H21" s="18" t="inlineStr"/>
      <c r="I21" s="8" t="n"/>
      <c r="J21" s="4" t="n"/>
      <c r="K21" s="18" t="inlineStr"/>
      <c r="L21" s="8" t="n"/>
      <c r="M21" s="4" t="n"/>
    </row>
    <row r="22">
      <c r="A22" s="3" t="inlineStr">
        <is>
          <t>公共建設(4)</t>
        </is>
      </c>
      <c r="B22" s="16" t="inlineStr">
        <is>
          <t>接近市場之程度（傳統市場、超級市場、超大型購物中心）</t>
        </is>
      </c>
      <c r="C22" s="5" t="n">
        <v>1</v>
      </c>
      <c r="D22" s="5" t="inlineStr">
        <is>
          <t>優</t>
        </is>
      </c>
      <c r="E22" s="5" t="n">
        <v>1</v>
      </c>
      <c r="F22" s="5" t="inlineStr">
        <is>
          <t>優</t>
        </is>
      </c>
      <c r="G22" s="17" t="n">
        <v>0</v>
      </c>
      <c r="H22" s="5" t="n"/>
      <c r="I22" s="5" t="n"/>
      <c r="J22" s="5" t="n"/>
      <c r="K22" s="5" t="n"/>
      <c r="L22" s="5" t="n"/>
      <c r="M22" s="5" t="n"/>
    </row>
    <row r="23">
      <c r="A23" s="12" t="n"/>
      <c r="B23" s="16" t="inlineStr">
        <is>
          <t>接近公園（里鄰公園、一般公園）、廣場、徒步區之程度</t>
        </is>
      </c>
      <c r="C23" s="5" t="n">
        <v>1</v>
      </c>
      <c r="D23" s="5" t="inlineStr">
        <is>
          <t>優</t>
        </is>
      </c>
      <c r="E23" s="5" t="n">
        <v>1</v>
      </c>
      <c r="F23" s="5" t="inlineStr">
        <is>
          <t>優</t>
        </is>
      </c>
      <c r="G23" s="17" t="n">
        <v>0</v>
      </c>
      <c r="H23" s="5" t="n"/>
      <c r="I23" s="5" t="n"/>
      <c r="J23" s="5" t="n"/>
      <c r="K23" s="5" t="n"/>
      <c r="L23" s="5" t="n"/>
      <c r="M23" s="5" t="n"/>
    </row>
    <row r="24">
      <c r="A24" s="12" t="n"/>
      <c r="B24" s="16" t="inlineStr">
        <is>
          <t>接近觀光遊憩設施之程度</t>
        </is>
      </c>
      <c r="C24" s="5" t="n">
        <v>1</v>
      </c>
      <c r="D24" s="5" t="inlineStr">
        <is>
          <t>優</t>
        </is>
      </c>
      <c r="E24" s="5" t="n">
        <v>1</v>
      </c>
      <c r="F24" s="5" t="inlineStr">
        <is>
          <t>優</t>
        </is>
      </c>
      <c r="G24" s="17" t="n">
        <v>0</v>
      </c>
      <c r="H24" s="5" t="n"/>
      <c r="I24" s="5" t="n"/>
      <c r="J24" s="5" t="n"/>
      <c r="K24" s="5" t="n"/>
      <c r="L24" s="5" t="n"/>
      <c r="M24" s="5" t="n"/>
    </row>
    <row r="25">
      <c r="A25" s="12" t="n"/>
      <c r="B25" s="16" t="inlineStr">
        <is>
          <t>停車場地之便利程度</t>
        </is>
      </c>
      <c r="C25" s="5" t="n">
        <v>2</v>
      </c>
      <c r="D25" s="5" t="inlineStr">
        <is>
          <t>稍優</t>
        </is>
      </c>
      <c r="E25" s="5" t="n">
        <v>2</v>
      </c>
      <c r="F25" s="5" t="inlineStr">
        <is>
          <t>稍優</t>
        </is>
      </c>
      <c r="G25" s="17" t="n">
        <v>0</v>
      </c>
      <c r="H25" s="5" t="n"/>
      <c r="I25" s="5" t="n"/>
      <c r="J25" s="5" t="n"/>
      <c r="K25" s="5" t="n"/>
      <c r="L25" s="5" t="n"/>
      <c r="M25" s="5" t="n"/>
    </row>
    <row r="26">
      <c r="A26" s="13" t="n"/>
      <c r="B26" s="15" t="inlineStr">
        <is>
          <t>百分比小計</t>
        </is>
      </c>
      <c r="C26" s="5" t="n"/>
      <c r="D26" s="5" t="n"/>
      <c r="E26" s="18" t="n">
        <v>0</v>
      </c>
      <c r="F26" s="8" t="n"/>
      <c r="G26" s="4" t="n"/>
      <c r="H26" s="18" t="inlineStr"/>
      <c r="I26" s="8" t="n"/>
      <c r="J26" s="4" t="n"/>
      <c r="K26" s="18" t="inlineStr"/>
      <c r="L26" s="8" t="n"/>
      <c r="M26" s="4" t="n"/>
    </row>
    <row r="27">
      <c r="A27" s="3" t="inlineStr">
        <is>
          <t>特殊設施(5)</t>
        </is>
      </c>
      <c r="B27" s="16" t="inlineStr">
        <is>
          <t>電業設施及公用氣體燃料設施之有無及接近程度</t>
        </is>
      </c>
      <c r="C27" s="5" t="n">
        <v>5</v>
      </c>
      <c r="D27" s="5" t="inlineStr">
        <is>
          <t>劣</t>
        </is>
      </c>
      <c r="E27" s="5" t="n">
        <v>5</v>
      </c>
      <c r="F27" s="5" t="inlineStr">
        <is>
          <t>劣</t>
        </is>
      </c>
      <c r="G27" s="17" t="n">
        <v>0</v>
      </c>
      <c r="H27" s="5" t="n"/>
      <c r="I27" s="5" t="n"/>
      <c r="J27" s="5" t="n"/>
      <c r="K27" s="5" t="n"/>
      <c r="L27" s="5" t="n"/>
      <c r="M27" s="5" t="n"/>
    </row>
    <row r="28">
      <c r="A28" s="12" t="n"/>
      <c r="B28" s="16" t="inlineStr">
        <is>
          <t>殯葬設施之有無及接近程度</t>
        </is>
      </c>
      <c r="C28" s="5" t="n">
        <v>5</v>
      </c>
      <c r="D28" s="5" t="inlineStr">
        <is>
          <t>劣</t>
        </is>
      </c>
      <c r="E28" s="5" t="n">
        <v>5</v>
      </c>
      <c r="F28" s="5" t="inlineStr">
        <is>
          <t>劣</t>
        </is>
      </c>
      <c r="G28" s="17" t="n">
        <v>0</v>
      </c>
      <c r="H28" s="5" t="n"/>
      <c r="I28" s="5" t="n"/>
      <c r="J28" s="5" t="n"/>
      <c r="K28" s="5" t="n"/>
      <c r="L28" s="5" t="n"/>
      <c r="M28" s="5" t="n"/>
    </row>
    <row r="29">
      <c r="A29" s="12" t="n"/>
      <c r="B29" s="16" t="inlineStr">
        <is>
          <t>廢棄物處理設施之有無及接近程度</t>
        </is>
      </c>
      <c r="C29" s="5" t="n">
        <v>1</v>
      </c>
      <c r="D29" s="5" t="inlineStr">
        <is>
          <t>優</t>
        </is>
      </c>
      <c r="E29" s="5" t="n">
        <v>1</v>
      </c>
      <c r="F29" s="5" t="inlineStr">
        <is>
          <t>優</t>
        </is>
      </c>
      <c r="G29" s="17" t="n">
        <v>0</v>
      </c>
      <c r="H29" s="5" t="n"/>
      <c r="I29" s="5" t="n"/>
      <c r="J29" s="5" t="n"/>
      <c r="K29" s="5" t="n"/>
      <c r="L29" s="5" t="n"/>
      <c r="M29" s="5" t="n"/>
    </row>
    <row r="30">
      <c r="A30" s="13" t="n"/>
      <c r="B30" s="15" t="inlineStr">
        <is>
          <t>百分比小計</t>
        </is>
      </c>
      <c r="C30" s="5" t="n"/>
      <c r="D30" s="5" t="n"/>
      <c r="E30" s="18" t="n">
        <v>0</v>
      </c>
      <c r="F30" s="8" t="n"/>
      <c r="G30" s="4" t="n"/>
      <c r="H30" s="18" t="inlineStr"/>
      <c r="I30" s="8" t="n"/>
      <c r="J30" s="4" t="n"/>
      <c r="K30" s="18" t="inlineStr"/>
      <c r="L30" s="8" t="n"/>
      <c r="M30" s="4" t="n"/>
    </row>
    <row r="31">
      <c r="A31" s="3" t="inlineStr">
        <is>
          <t>環境污染(6)</t>
        </is>
      </c>
      <c r="B31" s="16" t="inlineStr">
        <is>
          <t>水污染、噪音污染、廢氣污染、廢棄物污染等之有無及接近程度</t>
        </is>
      </c>
      <c r="C31" s="5" t="n">
        <v>1</v>
      </c>
      <c r="D31" s="5" t="inlineStr">
        <is>
          <t>優</t>
        </is>
      </c>
      <c r="E31" s="5" t="n">
        <v>1</v>
      </c>
      <c r="F31" s="5" t="inlineStr">
        <is>
          <t>優</t>
        </is>
      </c>
      <c r="G31" s="17" t="n">
        <v>0</v>
      </c>
      <c r="H31" s="5" t="n"/>
      <c r="I31" s="5" t="n"/>
      <c r="J31" s="5" t="n"/>
      <c r="K31" s="5" t="n"/>
      <c r="L31" s="5" t="n"/>
      <c r="M31" s="5" t="n"/>
    </row>
    <row r="32">
      <c r="A32" s="13" t="n"/>
      <c r="B32" s="15" t="inlineStr">
        <is>
          <t>百分比小計</t>
        </is>
      </c>
      <c r="C32" s="5" t="n"/>
      <c r="D32" s="5" t="n"/>
      <c r="E32" s="18" t="n">
        <v>0</v>
      </c>
      <c r="F32" s="8" t="n"/>
      <c r="G32" s="4" t="n"/>
      <c r="H32" s="18" t="inlineStr"/>
      <c r="I32" s="8" t="n"/>
      <c r="J32" s="4" t="n"/>
      <c r="K32" s="18" t="inlineStr"/>
      <c r="L32" s="8" t="n"/>
      <c r="M32" s="4" t="n"/>
    </row>
    <row r="33">
      <c r="A33" s="3" t="inlineStr">
        <is>
          <t>工商活動(7)</t>
        </is>
      </c>
      <c r="B33" s="16" t="inlineStr">
        <is>
          <t>百貨公司之有無、數量、接近程度</t>
        </is>
      </c>
      <c r="C33" s="5" t="n">
        <v>5</v>
      </c>
      <c r="D33" s="5" t="inlineStr">
        <is>
          <t>劣</t>
        </is>
      </c>
      <c r="E33" s="5" t="n">
        <v>5</v>
      </c>
      <c r="F33" s="5" t="inlineStr">
        <is>
          <t>劣</t>
        </is>
      </c>
      <c r="G33" s="17" t="n">
        <v>0</v>
      </c>
      <c r="H33" s="5" t="n"/>
      <c r="I33" s="5" t="n"/>
      <c r="J33" s="5" t="n"/>
      <c r="K33" s="5" t="n"/>
      <c r="L33" s="5" t="n"/>
      <c r="M33" s="5" t="n"/>
    </row>
    <row r="34">
      <c r="A34" s="12" t="n"/>
      <c r="B34" s="16" t="inlineStr">
        <is>
          <t>金融機構之有無、數量、接近程度</t>
        </is>
      </c>
      <c r="C34" s="5" t="n">
        <v>2</v>
      </c>
      <c r="D34" s="5" t="inlineStr">
        <is>
          <t>稍優</t>
        </is>
      </c>
      <c r="E34" s="5" t="n">
        <v>2</v>
      </c>
      <c r="F34" s="5" t="inlineStr">
        <is>
          <t>稍優</t>
        </is>
      </c>
      <c r="G34" s="17" t="n">
        <v>0</v>
      </c>
      <c r="H34" s="5" t="n"/>
      <c r="I34" s="5" t="n"/>
      <c r="J34" s="5" t="n"/>
      <c r="K34" s="5" t="n"/>
      <c r="L34" s="5" t="n"/>
      <c r="M34" s="5" t="n"/>
    </row>
    <row r="35">
      <c r="A35" s="12" t="n"/>
      <c r="B35" s="16" t="inlineStr">
        <is>
          <t>娛樂設施之有無、數量、接近程度</t>
        </is>
      </c>
      <c r="C35" s="5" t="n">
        <v>5</v>
      </c>
      <c r="D35" s="5" t="inlineStr">
        <is>
          <t>劣</t>
        </is>
      </c>
      <c r="E35" s="5" t="n">
        <v>5</v>
      </c>
      <c r="F35" s="5" t="inlineStr">
        <is>
          <t>劣</t>
        </is>
      </c>
      <c r="G35" s="17" t="n">
        <v>0</v>
      </c>
      <c r="H35" s="5" t="n"/>
      <c r="I35" s="5" t="n"/>
      <c r="J35" s="5" t="n"/>
      <c r="K35" s="5" t="n"/>
      <c r="L35" s="5" t="n"/>
      <c r="M35" s="5" t="n"/>
    </row>
    <row r="36">
      <c r="A36" s="12" t="n"/>
      <c r="B36" s="16" t="inlineStr">
        <is>
          <t>大型展示中心或觀光飯店之有無、數量、接近程度</t>
        </is>
      </c>
      <c r="C36" s="5" t="n">
        <v>3</v>
      </c>
      <c r="D36" s="5" t="inlineStr">
        <is>
          <t>普通</t>
        </is>
      </c>
      <c r="E36" s="5" t="n">
        <v>3</v>
      </c>
      <c r="F36" s="5" t="inlineStr">
        <is>
          <t>普通</t>
        </is>
      </c>
      <c r="G36" s="17" t="n">
        <v>0</v>
      </c>
      <c r="H36" s="5" t="n"/>
      <c r="I36" s="5" t="n"/>
      <c r="J36" s="5" t="n"/>
      <c r="K36" s="5" t="n"/>
      <c r="L36" s="5" t="n"/>
      <c r="M36" s="5" t="n"/>
    </row>
    <row r="37">
      <c r="A37" s="12" t="n"/>
      <c r="B37" s="16" t="inlineStr">
        <is>
          <t>顧客通行量之多寡</t>
        </is>
      </c>
      <c r="C37" s="5" t="n">
        <v>1</v>
      </c>
      <c r="D37" s="5" t="inlineStr">
        <is>
          <t>優</t>
        </is>
      </c>
      <c r="E37" s="5" t="n">
        <v>1</v>
      </c>
      <c r="F37" s="5" t="inlineStr">
        <is>
          <t>優</t>
        </is>
      </c>
      <c r="G37" s="17" t="n">
        <v>0</v>
      </c>
      <c r="H37" s="5" t="n"/>
      <c r="I37" s="5" t="n"/>
      <c r="J37" s="5" t="n"/>
      <c r="K37" s="5" t="n"/>
      <c r="L37" s="5" t="n"/>
      <c r="M37" s="5" t="n"/>
    </row>
    <row r="38">
      <c r="A38" s="12" t="n"/>
      <c r="B38" s="16" t="inlineStr">
        <is>
          <t>店舖之毗連狀態</t>
        </is>
      </c>
      <c r="C38" s="5" t="n">
        <v>1</v>
      </c>
      <c r="D38" s="5" t="inlineStr">
        <is>
          <t>優</t>
        </is>
      </c>
      <c r="E38" s="5" t="n">
        <v>1</v>
      </c>
      <c r="F38" s="5" t="inlineStr">
        <is>
          <t>優</t>
        </is>
      </c>
      <c r="G38" s="17" t="n">
        <v>0</v>
      </c>
      <c r="H38" s="5" t="n"/>
      <c r="I38" s="5" t="n"/>
      <c r="J38" s="5" t="n"/>
      <c r="K38" s="5" t="n"/>
      <c r="L38" s="5" t="n"/>
      <c r="M38" s="5" t="n"/>
    </row>
    <row r="39">
      <c r="A39" s="13" t="n"/>
      <c r="B39" s="15" t="inlineStr">
        <is>
          <t>百分比小計</t>
        </is>
      </c>
      <c r="C39" s="5" t="n"/>
      <c r="D39" s="5" t="n"/>
      <c r="E39" s="18" t="n">
        <v>0</v>
      </c>
      <c r="F39" s="8" t="n"/>
      <c r="G39" s="4" t="n"/>
      <c r="H39" s="18" t="inlineStr"/>
      <c r="I39" s="8" t="n"/>
      <c r="J39" s="4" t="n"/>
      <c r="K39" s="18" t="inlineStr"/>
      <c r="L39" s="8" t="n"/>
      <c r="M39" s="4" t="n"/>
    </row>
    <row r="40">
      <c r="A40" s="3" t="inlineStr">
        <is>
          <t>其他影響因素(8)</t>
        </is>
      </c>
      <c r="B40" s="16" t="inlineStr">
        <is>
          <t>其他影響因素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13" t="n"/>
      <c r="B41" s="15" t="inlineStr">
        <is>
          <t>百分比小計</t>
        </is>
      </c>
      <c r="C41" s="5" t="n"/>
      <c r="D41" s="5" t="n"/>
      <c r="E41" s="18" t="n">
        <v>0</v>
      </c>
      <c r="F41" s="8" t="n"/>
      <c r="G41" s="4" t="n"/>
      <c r="H41" s="18" t="inlineStr"/>
      <c r="I41" s="8" t="n"/>
      <c r="J41" s="4" t="n"/>
      <c r="K41" s="18" t="inlineStr"/>
      <c r="L41" s="8" t="n"/>
      <c r="M41" s="4" t="n"/>
    </row>
    <row r="42" ht="40" customHeight="1">
      <c r="A42" s="3" t="inlineStr">
        <is>
          <t>影響地價
區域因素
總修正數</t>
        </is>
      </c>
      <c r="B42" s="15">
        <f>(1)+(2)+(3)+(4)+(5)+(6)+(7)+(8)</f>
        <v/>
      </c>
      <c r="C42" s="5" t="n"/>
      <c r="D42" s="5" t="n"/>
      <c r="E42" s="18" t="n">
        <v>0</v>
      </c>
      <c r="F42" s="8" t="n"/>
      <c r="G42" s="4" t="n"/>
      <c r="H42" s="18" t="inlineStr"/>
      <c r="I42" s="8" t="n"/>
      <c r="J42" s="4" t="n"/>
      <c r="K42" s="18" t="inlineStr"/>
      <c r="L42" s="8" t="n"/>
      <c r="M42" s="4" t="n"/>
    </row>
    <row r="43" ht="36" customHeight="1">
      <c r="A43" s="3" t="inlineStr">
        <is>
          <t>備註欄</t>
        </is>
      </c>
      <c r="B43" s="3" t="inlineStr">
        <is>
          <t>比準地或各比較標的</t>
        </is>
      </c>
      <c r="C43" s="16" t="inlineStr"/>
      <c r="D43" s="4" t="n"/>
      <c r="E43" s="16" t="inlineStr">
        <is>
          <t>第64期都市地價指數；金山區商業區年漲幅 6.18%；調整率約 2% = (48,481/47,513)−1，範本填 2.00%；引擎以 pct 為準（估價師填值），index 僅供審查比對</t>
        </is>
      </c>
      <c r="F43" s="8" t="n"/>
      <c r="G43" s="4" t="n"/>
      <c r="H43" s="16" t="inlineStr"/>
      <c r="I43" s="8" t="n"/>
      <c r="J43" s="4" t="n"/>
      <c r="K43" s="16" t="inlineStr"/>
      <c r="L43" s="8" t="n"/>
      <c r="M43" s="4" t="n"/>
    </row>
    <row r="44" ht="48" customHeight="1">
      <c r="A44" s="13" t="n"/>
      <c r="B44" s="3" t="inlineStr">
        <is>
          <t>全案</t>
        </is>
      </c>
      <c r="C44" s="16" t="inlineStr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4" t="n"/>
    </row>
    <row r="46">
      <c r="J46" s="2" t="inlineStr">
        <is>
          <t>不動產估價師：</t>
        </is>
      </c>
    </row>
  </sheetData>
  <mergeCells count="55">
    <mergeCell ref="L2:M2"/>
    <mergeCell ref="K41:M41"/>
    <mergeCell ref="K32:M32"/>
    <mergeCell ref="A12:A18"/>
    <mergeCell ref="I2:J2"/>
    <mergeCell ref="H4:I4"/>
    <mergeCell ref="E30:G30"/>
    <mergeCell ref="K43:M43"/>
    <mergeCell ref="H11:J11"/>
    <mergeCell ref="A5:A11"/>
    <mergeCell ref="C4:D4"/>
    <mergeCell ref="A22:A26"/>
    <mergeCell ref="E4:F4"/>
    <mergeCell ref="H32:J32"/>
    <mergeCell ref="E11:G11"/>
    <mergeCell ref="K42:M42"/>
    <mergeCell ref="A33:A39"/>
    <mergeCell ref="H39:J39"/>
    <mergeCell ref="A19:A21"/>
    <mergeCell ref="E26:G26"/>
    <mergeCell ref="K39:M39"/>
    <mergeCell ref="H3:J3"/>
    <mergeCell ref="C44:M44"/>
    <mergeCell ref="A3:B3"/>
    <mergeCell ref="A27:A30"/>
    <mergeCell ref="F2:G2"/>
    <mergeCell ref="E32:G32"/>
    <mergeCell ref="A2:B2"/>
    <mergeCell ref="E41:G41"/>
    <mergeCell ref="H42:J42"/>
    <mergeCell ref="C2:D2"/>
    <mergeCell ref="H18:J18"/>
    <mergeCell ref="C43:D43"/>
    <mergeCell ref="H30:J30"/>
    <mergeCell ref="E18:G18"/>
    <mergeCell ref="K18:M18"/>
    <mergeCell ref="H21:J21"/>
    <mergeCell ref="E3:G3"/>
    <mergeCell ref="K3:M3"/>
    <mergeCell ref="E21:G21"/>
    <mergeCell ref="H26:J26"/>
    <mergeCell ref="E43:G43"/>
    <mergeCell ref="K30:M30"/>
    <mergeCell ref="H43:J43"/>
    <mergeCell ref="E42:G42"/>
    <mergeCell ref="A43:A44"/>
    <mergeCell ref="H41:J41"/>
    <mergeCell ref="E39:G39"/>
    <mergeCell ref="K21:M21"/>
    <mergeCell ref="A31:A32"/>
    <mergeCell ref="K26:M26"/>
    <mergeCell ref="K4:L4"/>
    <mergeCell ref="A40:A41"/>
    <mergeCell ref="C3:D3"/>
    <mergeCell ref="K11:M11"/>
  </mergeCells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3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4" customWidth="1" min="4" max="4"/>
    <col width="6" customWidth="1" min="5" max="5"/>
    <col width="4" customWidth="1" min="6" max="6"/>
    <col width="14" customWidth="1" min="7" max="7"/>
    <col width="6" customWidth="1" min="8" max="8"/>
    <col width="4" customWidth="1" min="9" max="9"/>
    <col width="8" customWidth="1" min="10" max="10"/>
    <col width="14" customWidth="1" min="11" max="11"/>
    <col width="6" customWidth="1" min="12" max="12"/>
    <col width="4" customWidth="1" min="13" max="13"/>
    <col width="8" customWidth="1" min="14" max="14"/>
    <col width="14" customWidth="1" min="15" max="15"/>
    <col width="6" customWidth="1" min="16" max="16"/>
    <col width="4" customWidth="1" min="17" max="17"/>
    <col width="8" customWidth="1" min="18" max="18"/>
  </cols>
  <sheetData>
    <row r="1">
      <c r="A1" s="1" t="inlineStr">
        <is>
          <t>表4  比較法調查估價表</t>
        </is>
      </c>
      <c r="G1" s="2" t="inlineStr">
        <is>
          <t>估價基準日：1140901</t>
        </is>
      </c>
      <c r="N1" s="2" t="inlineStr">
        <is>
          <t>案號：1140901-99-001</t>
        </is>
      </c>
    </row>
    <row r="2">
      <c r="A2" s="3" t="inlineStr">
        <is>
          <t>調整項目</t>
        </is>
      </c>
      <c r="B2" s="19" t="n"/>
      <c r="C2" s="20" t="n"/>
      <c r="D2" s="3" t="inlineStr">
        <is>
          <t>比準地：宗地流水號  -</t>
        </is>
      </c>
      <c r="E2" s="8" t="n"/>
      <c r="F2" s="4" t="n"/>
      <c r="G2" s="3" t="inlineStr">
        <is>
          <t>比較標的1</t>
        </is>
      </c>
      <c r="H2" s="4" t="n"/>
      <c r="I2" s="3" t="inlineStr">
        <is>
          <t>實例編號：1</t>
        </is>
      </c>
      <c r="J2" s="4" t="n"/>
      <c r="K2" s="3" t="inlineStr">
        <is>
          <t>比較標的2</t>
        </is>
      </c>
      <c r="L2" s="4" t="n"/>
      <c r="M2" s="3" t="inlineStr">
        <is>
          <t>實例編號：</t>
        </is>
      </c>
      <c r="N2" s="4" t="n"/>
      <c r="O2" s="3" t="inlineStr">
        <is>
          <t>比較標的3</t>
        </is>
      </c>
      <c r="P2" s="4" t="n"/>
      <c r="Q2" s="3" t="inlineStr">
        <is>
          <t>實例編號：</t>
        </is>
      </c>
      <c r="R2" s="4" t="n"/>
    </row>
    <row r="3">
      <c r="A3" s="21" t="n"/>
      <c r="B3" s="22" t="n"/>
      <c r="C3" s="23" t="n"/>
      <c r="D3" s="3" t="inlineStr">
        <is>
          <t>條件</t>
        </is>
      </c>
      <c r="E3" s="8" t="n"/>
      <c r="F3" s="4" t="n"/>
      <c r="G3" s="3" t="inlineStr">
        <is>
          <t>條件</t>
        </is>
      </c>
      <c r="H3" s="8" t="n"/>
      <c r="I3" s="4" t="n"/>
      <c r="J3" s="3" t="inlineStr">
        <is>
          <t>差異率</t>
        </is>
      </c>
      <c r="K3" s="3" t="inlineStr">
        <is>
          <t>條件</t>
        </is>
      </c>
      <c r="L3" s="8" t="n"/>
      <c r="M3" s="4" t="n"/>
      <c r="N3" s="3" t="inlineStr">
        <is>
          <t>差異率</t>
        </is>
      </c>
      <c r="O3" s="3" t="inlineStr">
        <is>
          <t>條件</t>
        </is>
      </c>
      <c r="P3" s="8" t="n"/>
      <c r="Q3" s="4" t="n"/>
      <c r="R3" s="3" t="inlineStr">
        <is>
          <t>差異率</t>
        </is>
      </c>
    </row>
    <row r="4">
      <c r="A4" s="15" t="inlineStr">
        <is>
          <t>0基本資料</t>
        </is>
      </c>
      <c r="B4" s="8" t="n"/>
      <c r="C4" s="4" t="n"/>
      <c r="D4" s="5" t="inlineStr">
        <is>
          <t>新北市金山區金美段489地號</t>
        </is>
      </c>
      <c r="E4" s="8" t="n"/>
      <c r="F4" s="4" t="n"/>
      <c r="G4" s="5" t="inlineStr">
        <is>
          <t>新北市金山區溫泉段218地號</t>
        </is>
      </c>
      <c r="H4" s="8" t="n"/>
      <c r="I4" s="4" t="n"/>
      <c r="J4" s="24" t="inlineStr"/>
      <c r="K4" s="5" t="inlineStr"/>
      <c r="L4" s="8" t="n"/>
      <c r="M4" s="4" t="n"/>
      <c r="N4" s="24" t="inlineStr"/>
      <c r="O4" s="5" t="inlineStr"/>
      <c r="P4" s="8" t="n"/>
      <c r="Q4" s="4" t="n"/>
      <c r="R4" s="24" t="inlineStr"/>
    </row>
    <row r="5">
      <c r="A5" s="15" t="inlineStr">
        <is>
          <t>土地正常單價</t>
        </is>
      </c>
      <c r="B5" s="8" t="n"/>
      <c r="C5" s="4" t="n"/>
      <c r="D5" s="5" t="inlineStr"/>
      <c r="E5" s="8" t="n"/>
      <c r="F5" s="4" t="n"/>
      <c r="G5" s="25" t="n">
        <v>184763</v>
      </c>
      <c r="H5" s="8" t="n"/>
      <c r="I5" s="4" t="n"/>
      <c r="J5" s="24" t="inlineStr"/>
      <c r="K5" s="25" t="inlineStr"/>
      <c r="L5" s="8" t="n"/>
      <c r="M5" s="4" t="n"/>
      <c r="N5" s="24" t="inlineStr"/>
      <c r="O5" s="25" t="inlineStr"/>
      <c r="P5" s="8" t="n"/>
      <c r="Q5" s="4" t="n"/>
      <c r="R5" s="24" t="inlineStr"/>
    </row>
    <row r="6">
      <c r="A6" s="15" t="inlineStr">
        <is>
          <t>交易日期</t>
        </is>
      </c>
      <c r="B6" s="4" t="n"/>
      <c r="C6" s="3" t="inlineStr">
        <is>
          <t>調整百分率</t>
        </is>
      </c>
      <c r="D6" s="5" t="inlineStr"/>
      <c r="E6" s="8" t="n"/>
      <c r="F6" s="4" t="n"/>
      <c r="G6" s="5" t="inlineStr">
        <is>
          <t>114.05.28</t>
        </is>
      </c>
      <c r="H6" s="8" t="n"/>
      <c r="I6" s="4" t="n"/>
      <c r="J6" s="24" t="n">
        <v>2</v>
      </c>
      <c r="K6" s="5" t="inlineStr"/>
      <c r="L6" s="8" t="n"/>
      <c r="M6" s="4" t="n"/>
      <c r="N6" s="24" t="inlineStr"/>
      <c r="O6" s="5" t="inlineStr"/>
      <c r="P6" s="8" t="n"/>
      <c r="Q6" s="4" t="n"/>
      <c r="R6" s="24" t="inlineStr"/>
    </row>
    <row r="7">
      <c r="A7" s="15" t="inlineStr">
        <is>
          <t>調整至估價基準日單價(元/M2)</t>
        </is>
      </c>
      <c r="B7" s="8" t="n"/>
      <c r="C7" s="4" t="n"/>
      <c r="D7" s="5" t="inlineStr"/>
      <c r="E7" s="8" t="n"/>
      <c r="F7" s="4" t="n"/>
      <c r="G7" s="25" t="n">
        <v>188458.26</v>
      </c>
      <c r="H7" s="8" t="n"/>
      <c r="I7" s="4" t="n"/>
      <c r="J7" s="24" t="inlineStr"/>
      <c r="K7" s="25" t="inlineStr"/>
      <c r="L7" s="8" t="n"/>
      <c r="M7" s="4" t="n"/>
      <c r="N7" s="24" t="inlineStr"/>
      <c r="O7" s="25" t="inlineStr"/>
      <c r="P7" s="8" t="n"/>
      <c r="Q7" s="4" t="n"/>
      <c r="R7" s="24" t="inlineStr"/>
    </row>
    <row r="8">
      <c r="A8" s="15" t="inlineStr">
        <is>
          <t>地價區段</t>
        </is>
      </c>
      <c r="B8" s="4" t="n"/>
      <c r="C8" s="3" t="inlineStr">
        <is>
          <t>區域因素調整百分率</t>
        </is>
      </c>
      <c r="D8" s="5" t="inlineStr">
        <is>
          <t>P002-00</t>
        </is>
      </c>
      <c r="E8" s="8" t="n"/>
      <c r="F8" s="4" t="n"/>
      <c r="G8" s="5" t="inlineStr">
        <is>
          <t>P002-00</t>
        </is>
      </c>
      <c r="H8" s="8" t="n"/>
      <c r="I8" s="4" t="n"/>
      <c r="J8" s="24" t="n">
        <v>0</v>
      </c>
      <c r="K8" s="5" t="inlineStr"/>
      <c r="L8" s="8" t="n"/>
      <c r="M8" s="4" t="n"/>
      <c r="N8" s="24" t="inlineStr"/>
      <c r="O8" s="5" t="inlineStr"/>
      <c r="P8" s="8" t="n"/>
      <c r="Q8" s="4" t="n"/>
      <c r="R8" s="24" t="inlineStr"/>
    </row>
    <row r="9">
      <c r="A9" s="3" t="inlineStr">
        <is>
          <t>個
別
因
素
調
整</t>
        </is>
      </c>
      <c r="B9" s="3" t="inlineStr">
        <is>
          <t>1
宗地條件</t>
        </is>
      </c>
      <c r="C9" s="16" t="inlineStr">
        <is>
          <t>7面積(M2)</t>
        </is>
      </c>
      <c r="D9" s="26" t="n">
        <v>113.21</v>
      </c>
      <c r="E9" s="8" t="n"/>
      <c r="F9" s="4" t="n"/>
      <c r="G9" s="26" t="n">
        <v>111.85</v>
      </c>
      <c r="H9" s="8" t="n"/>
      <c r="I9" s="4" t="n"/>
      <c r="J9" s="24" t="n">
        <v>0</v>
      </c>
      <c r="K9" s="5" t="inlineStr"/>
      <c r="L9" s="8" t="n"/>
      <c r="M9" s="4" t="n"/>
      <c r="N9" s="5" t="inlineStr"/>
      <c r="O9" s="5" t="inlineStr"/>
      <c r="P9" s="8" t="n"/>
      <c r="Q9" s="4" t="n"/>
      <c r="R9" s="5" t="inlineStr"/>
    </row>
    <row r="10">
      <c r="A10" s="12" t="n"/>
      <c r="B10" s="12" t="n"/>
      <c r="C10" s="16" t="inlineStr">
        <is>
          <t>8寬度(M)</t>
        </is>
      </c>
      <c r="D10" s="27" t="n">
        <v>5</v>
      </c>
      <c r="E10" s="8" t="n"/>
      <c r="F10" s="4" t="n"/>
      <c r="G10" s="27" t="n">
        <v>7</v>
      </c>
      <c r="H10" s="8" t="n"/>
      <c r="I10" s="4" t="n"/>
      <c r="J10" s="24" t="n">
        <v>0</v>
      </c>
      <c r="K10" s="5" t="inlineStr"/>
      <c r="L10" s="8" t="n"/>
      <c r="M10" s="4" t="n"/>
      <c r="N10" s="5" t="inlineStr"/>
      <c r="O10" s="5" t="inlineStr"/>
      <c r="P10" s="8" t="n"/>
      <c r="Q10" s="4" t="n"/>
      <c r="R10" s="5" t="inlineStr"/>
    </row>
    <row r="11">
      <c r="A11" s="12" t="n"/>
      <c r="B11" s="12" t="n"/>
      <c r="C11" s="16" t="inlineStr">
        <is>
          <t>9深度(M)</t>
        </is>
      </c>
      <c r="D11" s="27" t="n">
        <v>23</v>
      </c>
      <c r="E11" s="8" t="n"/>
      <c r="F11" s="4" t="n"/>
      <c r="G11" s="27" t="n">
        <v>16</v>
      </c>
      <c r="H11" s="8" t="n"/>
      <c r="I11" s="4" t="n"/>
      <c r="J11" s="24" t="n">
        <v>1</v>
      </c>
      <c r="K11" s="5" t="inlineStr"/>
      <c r="L11" s="8" t="n"/>
      <c r="M11" s="4" t="n"/>
      <c r="N11" s="5" t="inlineStr"/>
      <c r="O11" s="5" t="inlineStr"/>
      <c r="P11" s="8" t="n"/>
      <c r="Q11" s="4" t="n"/>
      <c r="R11" s="5" t="inlineStr"/>
    </row>
    <row r="12">
      <c r="A12" s="12" t="n"/>
      <c r="B12" s="12" t="n"/>
      <c r="C12" s="16" t="inlineStr">
        <is>
          <t>10形狀</t>
        </is>
      </c>
      <c r="D12" s="5" t="inlineStr">
        <is>
          <t>方形</t>
        </is>
      </c>
      <c r="E12" s="8" t="n"/>
      <c r="F12" s="4" t="n"/>
      <c r="G12" s="5" t="inlineStr">
        <is>
          <t>方形</t>
        </is>
      </c>
      <c r="H12" s="8" t="n"/>
      <c r="I12" s="4" t="n"/>
      <c r="J12" s="24" t="n">
        <v>0</v>
      </c>
      <c r="K12" s="5" t="inlineStr"/>
      <c r="L12" s="8" t="n"/>
      <c r="M12" s="4" t="n"/>
      <c r="N12" s="5" t="inlineStr"/>
      <c r="O12" s="5" t="inlineStr"/>
      <c r="P12" s="8" t="n"/>
      <c r="Q12" s="4" t="n"/>
      <c r="R12" s="5" t="inlineStr"/>
    </row>
    <row r="13">
      <c r="A13" s="12" t="n"/>
      <c r="B13" s="12" t="n"/>
      <c r="C13" s="16" t="inlineStr">
        <is>
          <t>11臨街情形</t>
        </is>
      </c>
      <c r="D13" s="5" t="inlineStr">
        <is>
          <t>單面臨街</t>
        </is>
      </c>
      <c r="E13" s="8" t="n"/>
      <c r="F13" s="4" t="n"/>
      <c r="G13" s="5" t="inlineStr">
        <is>
          <t>單面臨街</t>
        </is>
      </c>
      <c r="H13" s="8" t="n"/>
      <c r="I13" s="4" t="n"/>
      <c r="J13" s="24" t="n">
        <v>0</v>
      </c>
      <c r="K13" s="5" t="inlineStr"/>
      <c r="L13" s="8" t="n"/>
      <c r="M13" s="4" t="n"/>
      <c r="N13" s="5" t="inlineStr"/>
      <c r="O13" s="5" t="inlineStr"/>
      <c r="P13" s="8" t="n"/>
      <c r="Q13" s="4" t="n"/>
      <c r="R13" s="5" t="inlineStr"/>
    </row>
    <row r="14">
      <c r="A14" s="12" t="n"/>
      <c r="B14" s="13" t="n"/>
      <c r="C14" s="16" t="inlineStr">
        <is>
          <t>12地勢</t>
        </is>
      </c>
      <c r="D14" s="5" t="inlineStr">
        <is>
          <t>平坦</t>
        </is>
      </c>
      <c r="E14" s="8" t="n"/>
      <c r="F14" s="4" t="n"/>
      <c r="G14" s="5" t="inlineStr">
        <is>
          <t>平坦</t>
        </is>
      </c>
      <c r="H14" s="8" t="n"/>
      <c r="I14" s="4" t="n"/>
      <c r="J14" s="24" t="n">
        <v>0</v>
      </c>
      <c r="K14" s="5" t="inlineStr"/>
      <c r="L14" s="8" t="n"/>
      <c r="M14" s="4" t="n"/>
      <c r="N14" s="5" t="inlineStr"/>
      <c r="O14" s="5" t="inlineStr"/>
      <c r="P14" s="8" t="n"/>
      <c r="Q14" s="4" t="n"/>
      <c r="R14" s="5" t="inlineStr"/>
    </row>
    <row r="15">
      <c r="A15" s="12" t="n"/>
      <c r="B15" s="3" t="inlineStr">
        <is>
          <t>2
道路條件</t>
        </is>
      </c>
      <c r="C15" s="16" t="inlineStr">
        <is>
          <t>13道路種類</t>
        </is>
      </c>
      <c r="D15" s="5" t="inlineStr">
        <is>
          <t>主要道路</t>
        </is>
      </c>
      <c r="E15" s="8" t="n"/>
      <c r="F15" s="4" t="n"/>
      <c r="G15" s="5" t="inlineStr">
        <is>
          <t>次要道路</t>
        </is>
      </c>
      <c r="H15" s="8" t="n"/>
      <c r="I15" s="4" t="n"/>
      <c r="J15" s="24" t="n">
        <v>2</v>
      </c>
      <c r="K15" s="5" t="inlineStr"/>
      <c r="L15" s="8" t="n"/>
      <c r="M15" s="4" t="n"/>
      <c r="N15" s="5" t="inlineStr"/>
      <c r="O15" s="5" t="inlineStr"/>
      <c r="P15" s="8" t="n"/>
      <c r="Q15" s="4" t="n"/>
      <c r="R15" s="5" t="inlineStr"/>
    </row>
    <row r="16">
      <c r="A16" s="12" t="n"/>
      <c r="B16" s="13" t="n"/>
      <c r="C16" s="16" t="inlineStr">
        <is>
          <t>14面前道路寬度</t>
        </is>
      </c>
      <c r="D16" s="5" t="inlineStr">
        <is>
          <t>中山路</t>
        </is>
      </c>
      <c r="E16" s="27" t="n">
        <v>18</v>
      </c>
      <c r="F16" s="5" t="inlineStr">
        <is>
          <t>M</t>
        </is>
      </c>
      <c r="G16" s="5" t="inlineStr">
        <is>
          <t>金包里街</t>
        </is>
      </c>
      <c r="H16" s="27" t="n">
        <v>6</v>
      </c>
      <c r="I16" s="5" t="inlineStr">
        <is>
          <t>M</t>
        </is>
      </c>
      <c r="J16" s="24" t="n">
        <v>5</v>
      </c>
      <c r="K16" s="5" t="inlineStr"/>
      <c r="L16" s="8" t="n"/>
      <c r="M16" s="4" t="n"/>
      <c r="N16" s="5" t="inlineStr"/>
      <c r="O16" s="5" t="inlineStr"/>
      <c r="P16" s="8" t="n"/>
      <c r="Q16" s="4" t="n"/>
      <c r="R16" s="5" t="inlineStr"/>
    </row>
    <row r="17">
      <c r="A17" s="12" t="n"/>
      <c r="B17" s="3" t="inlineStr">
        <is>
          <t>3
接近條件</t>
        </is>
      </c>
      <c r="C17" s="16" t="inlineStr">
        <is>
          <t>15接近學校之程度</t>
        </is>
      </c>
      <c r="D17" s="5" t="inlineStr">
        <is>
          <t>金山國小</t>
        </is>
      </c>
      <c r="E17" s="27" t="n">
        <v>150</v>
      </c>
      <c r="F17" s="5" t="inlineStr">
        <is>
          <t>M</t>
        </is>
      </c>
      <c r="G17" s="5" t="inlineStr">
        <is>
          <t>金山國小</t>
        </is>
      </c>
      <c r="H17" s="27" t="n">
        <v>100</v>
      </c>
      <c r="I17" s="5" t="inlineStr">
        <is>
          <t>M</t>
        </is>
      </c>
      <c r="J17" s="24" t="n">
        <v>0</v>
      </c>
      <c r="K17" s="5" t="inlineStr"/>
      <c r="L17" s="8" t="n"/>
      <c r="M17" s="4" t="n"/>
      <c r="N17" s="5" t="inlineStr"/>
      <c r="O17" s="5" t="inlineStr"/>
      <c r="P17" s="8" t="n"/>
      <c r="Q17" s="4" t="n"/>
      <c r="R17" s="5" t="inlineStr"/>
    </row>
    <row r="18">
      <c r="A18" s="12" t="n"/>
      <c r="B18" s="12" t="n"/>
      <c r="C18" s="16" t="inlineStr">
        <is>
          <t>16接近市場之程度</t>
        </is>
      </c>
      <c r="D18" s="5" t="inlineStr">
        <is>
          <t>金山市場</t>
        </is>
      </c>
      <c r="E18" s="27" t="n">
        <v>30</v>
      </c>
      <c r="F18" s="5" t="inlineStr">
        <is>
          <t>M</t>
        </is>
      </c>
      <c r="G18" s="5" t="inlineStr">
        <is>
          <t>金山市場</t>
        </is>
      </c>
      <c r="H18" s="27" t="n">
        <v>92</v>
      </c>
      <c r="I18" s="5" t="inlineStr">
        <is>
          <t>M</t>
        </is>
      </c>
      <c r="J18" s="24" t="n">
        <v>0</v>
      </c>
      <c r="K18" s="5" t="inlineStr"/>
      <c r="L18" s="8" t="n"/>
      <c r="M18" s="4" t="n"/>
      <c r="N18" s="5" t="inlineStr"/>
      <c r="O18" s="5" t="inlineStr"/>
      <c r="P18" s="8" t="n"/>
      <c r="Q18" s="4" t="n"/>
      <c r="R18" s="5" t="inlineStr"/>
    </row>
    <row r="19">
      <c r="A19" s="12" t="n"/>
      <c r="B19" s="12" t="n"/>
      <c r="C19" s="16" t="inlineStr">
        <is>
          <t>17接近公園、廣場之程度</t>
        </is>
      </c>
      <c r="D19" s="5" t="inlineStr">
        <is>
          <t>中山溫泉公園</t>
        </is>
      </c>
      <c r="E19" s="27" t="n">
        <v>190</v>
      </c>
      <c r="F19" s="5" t="inlineStr">
        <is>
          <t>M</t>
        </is>
      </c>
      <c r="G19" s="5" t="inlineStr">
        <is>
          <t>中山溫泉公園</t>
        </is>
      </c>
      <c r="H19" s="27" t="n">
        <v>200</v>
      </c>
      <c r="I19" s="5" t="inlineStr">
        <is>
          <t>M</t>
        </is>
      </c>
      <c r="J19" s="24" t="n">
        <v>0</v>
      </c>
      <c r="K19" s="5" t="inlineStr"/>
      <c r="L19" s="8" t="n"/>
      <c r="M19" s="4" t="n"/>
      <c r="N19" s="5" t="inlineStr"/>
      <c r="O19" s="5" t="inlineStr"/>
      <c r="P19" s="8" t="n"/>
      <c r="Q19" s="4" t="n"/>
      <c r="R19" s="5" t="inlineStr"/>
    </row>
    <row r="20">
      <c r="A20" s="12" t="n"/>
      <c r="B20" s="12" t="n"/>
      <c r="C20" s="16" t="inlineStr">
        <is>
          <t>18接近車站之程度</t>
        </is>
      </c>
      <c r="D20" s="5" t="inlineStr">
        <is>
          <t>金山區公所站</t>
        </is>
      </c>
      <c r="E20" s="27" t="n">
        <v>80</v>
      </c>
      <c r="F20" s="5" t="inlineStr">
        <is>
          <t>M</t>
        </is>
      </c>
      <c r="G20" s="5" t="inlineStr">
        <is>
          <t>金山區公所站</t>
        </is>
      </c>
      <c r="H20" s="27" t="n">
        <v>190</v>
      </c>
      <c r="I20" s="5" t="inlineStr">
        <is>
          <t>M</t>
        </is>
      </c>
      <c r="J20" s="24" t="n">
        <v>0</v>
      </c>
      <c r="K20" s="5" t="inlineStr"/>
      <c r="L20" s="8" t="n"/>
      <c r="M20" s="4" t="n"/>
      <c r="N20" s="5" t="inlineStr"/>
      <c r="O20" s="5" t="inlineStr"/>
      <c r="P20" s="8" t="n"/>
      <c r="Q20" s="4" t="n"/>
      <c r="R20" s="5" t="inlineStr"/>
    </row>
    <row r="21">
      <c r="A21" s="12" t="n"/>
      <c r="B21" s="13" t="n"/>
      <c r="C21" s="16" t="inlineStr">
        <is>
          <t>19接近商圈之程度</t>
        </is>
      </c>
      <c r="D21" s="5" t="inlineStr">
        <is>
          <t>老街商圈</t>
        </is>
      </c>
      <c r="E21" s="27" t="n">
        <v>0</v>
      </c>
      <c r="F21" s="5" t="inlineStr">
        <is>
          <t>M</t>
        </is>
      </c>
      <c r="G21" s="5" t="inlineStr">
        <is>
          <t>老街商圈</t>
        </is>
      </c>
      <c r="H21" s="27" t="n">
        <v>0</v>
      </c>
      <c r="I21" s="5" t="inlineStr">
        <is>
          <t>M</t>
        </is>
      </c>
      <c r="J21" s="24" t="n">
        <v>0</v>
      </c>
      <c r="K21" s="5" t="inlineStr"/>
      <c r="L21" s="8" t="n"/>
      <c r="M21" s="4" t="n"/>
      <c r="N21" s="5" t="inlineStr"/>
      <c r="O21" s="5" t="inlineStr"/>
      <c r="P21" s="8" t="n"/>
      <c r="Q21" s="4" t="n"/>
      <c r="R21" s="5" t="inlineStr"/>
    </row>
    <row r="22">
      <c r="A22" s="12" t="n"/>
      <c r="B22" s="3" t="inlineStr">
        <is>
          <t>4
周邊環境條件</t>
        </is>
      </c>
      <c r="C22" s="16" t="inlineStr">
        <is>
          <t>20嫌惡設施(類型)</t>
        </is>
      </c>
      <c r="D22" s="5" t="inlineStr">
        <is>
          <t>金山第一公墓</t>
        </is>
      </c>
      <c r="E22" s="27" t="n">
        <v>260</v>
      </c>
      <c r="F22" s="5" t="inlineStr">
        <is>
          <t>M</t>
        </is>
      </c>
      <c r="G22" s="5" t="inlineStr">
        <is>
          <t>金山第一公墓</t>
        </is>
      </c>
      <c r="H22" s="27" t="n">
        <v>80</v>
      </c>
      <c r="I22" s="5" t="inlineStr">
        <is>
          <t>M</t>
        </is>
      </c>
      <c r="J22" s="24" t="n">
        <v>3</v>
      </c>
      <c r="K22" s="5" t="inlineStr"/>
      <c r="L22" s="8" t="n"/>
      <c r="M22" s="4" t="n"/>
      <c r="N22" s="5" t="inlineStr"/>
      <c r="O22" s="5" t="inlineStr"/>
      <c r="P22" s="8" t="n"/>
      <c r="Q22" s="4" t="n"/>
      <c r="R22" s="5" t="inlineStr"/>
    </row>
    <row r="23">
      <c r="A23" s="12" t="n"/>
      <c r="B23" s="13" t="n"/>
      <c r="C23" s="16" t="inlineStr">
        <is>
          <t>21停車方便性</t>
        </is>
      </c>
      <c r="D23" s="5" t="inlineStr">
        <is>
          <t>可路邊停車</t>
        </is>
      </c>
      <c r="E23" s="8" t="n"/>
      <c r="F23" s="4" t="n"/>
      <c r="G23" s="5" t="inlineStr">
        <is>
          <t>不可路邊停車</t>
        </is>
      </c>
      <c r="H23" s="8" t="n"/>
      <c r="I23" s="4" t="n"/>
      <c r="J23" s="24" t="n">
        <v>2</v>
      </c>
      <c r="K23" s="5" t="inlineStr"/>
      <c r="L23" s="8" t="n"/>
      <c r="M23" s="4" t="n"/>
      <c r="N23" s="5" t="inlineStr"/>
      <c r="O23" s="5" t="inlineStr"/>
      <c r="P23" s="8" t="n"/>
      <c r="Q23" s="4" t="n"/>
      <c r="R23" s="5" t="inlineStr"/>
    </row>
    <row r="24">
      <c r="A24" s="12" t="n"/>
      <c r="B24" s="3" t="inlineStr">
        <is>
          <t>5
行政條件</t>
        </is>
      </c>
      <c r="C24" s="16" t="inlineStr">
        <is>
          <t>22使用分區或編定用地</t>
        </is>
      </c>
      <c r="D24" s="5" t="inlineStr">
        <is>
          <t>第二種商業區</t>
        </is>
      </c>
      <c r="E24" s="8" t="n"/>
      <c r="F24" s="4" t="n"/>
      <c r="G24" s="5" t="inlineStr">
        <is>
          <t>第二種商業區</t>
        </is>
      </c>
      <c r="H24" s="8" t="n"/>
      <c r="I24" s="4" t="n"/>
      <c r="J24" s="24" t="n">
        <v>0</v>
      </c>
      <c r="K24" s="5" t="inlineStr"/>
      <c r="L24" s="8" t="n"/>
      <c r="M24" s="4" t="n"/>
      <c r="N24" s="5" t="inlineStr"/>
      <c r="O24" s="5" t="inlineStr"/>
      <c r="P24" s="8" t="n"/>
      <c r="Q24" s="4" t="n"/>
      <c r="R24" s="5" t="inlineStr"/>
    </row>
    <row r="25">
      <c r="A25" s="12" t="n"/>
      <c r="B25" s="12" t="n"/>
      <c r="C25" s="16" t="inlineStr">
        <is>
          <t>23建蔽率(%)</t>
        </is>
      </c>
      <c r="D25" s="28" t="n">
        <v>70</v>
      </c>
      <c r="E25" s="8" t="n"/>
      <c r="F25" s="4" t="n"/>
      <c r="G25" s="28" t="n">
        <v>70</v>
      </c>
      <c r="H25" s="8" t="n"/>
      <c r="I25" s="4" t="n"/>
      <c r="J25" s="24" t="n">
        <v>0</v>
      </c>
      <c r="K25" s="5" t="inlineStr"/>
      <c r="L25" s="8" t="n"/>
      <c r="M25" s="4" t="n"/>
      <c r="N25" s="5" t="inlineStr"/>
      <c r="O25" s="5" t="inlineStr"/>
      <c r="P25" s="8" t="n"/>
      <c r="Q25" s="4" t="n"/>
      <c r="R25" s="5" t="inlineStr"/>
    </row>
    <row r="26">
      <c r="A26" s="12" t="n"/>
      <c r="B26" s="12" t="n"/>
      <c r="C26" s="16" t="inlineStr">
        <is>
          <t>24容積率(%)</t>
        </is>
      </c>
      <c r="D26" s="28" t="n">
        <v>240</v>
      </c>
      <c r="E26" s="8" t="n"/>
      <c r="F26" s="4" t="n"/>
      <c r="G26" s="28" t="n">
        <v>240</v>
      </c>
      <c r="H26" s="8" t="n"/>
      <c r="I26" s="4" t="n"/>
      <c r="J26" s="24" t="n">
        <v>0</v>
      </c>
      <c r="K26" s="5" t="inlineStr"/>
      <c r="L26" s="8" t="n"/>
      <c r="M26" s="4" t="n"/>
      <c r="N26" s="5" t="inlineStr"/>
      <c r="O26" s="5" t="inlineStr"/>
      <c r="P26" s="8" t="n"/>
      <c r="Q26" s="4" t="n"/>
      <c r="R26" s="5" t="inlineStr"/>
    </row>
    <row r="27">
      <c r="A27" s="12" t="n"/>
      <c r="B27" s="13" t="n"/>
      <c r="C27" s="16" t="inlineStr">
        <is>
          <t>25有無禁限建</t>
        </is>
      </c>
      <c r="D27" s="5" t="inlineStr">
        <is>
          <t>無</t>
        </is>
      </c>
      <c r="E27" s="8" t="n"/>
      <c r="F27" s="4" t="n"/>
      <c r="G27" s="5" t="inlineStr">
        <is>
          <t>無</t>
        </is>
      </c>
      <c r="H27" s="8" t="n"/>
      <c r="I27" s="4" t="n"/>
      <c r="J27" s="24" t="n">
        <v>0</v>
      </c>
      <c r="K27" s="5" t="inlineStr"/>
      <c r="L27" s="8" t="n"/>
      <c r="M27" s="4" t="n"/>
      <c r="N27" s="5" t="inlineStr"/>
      <c r="O27" s="5" t="inlineStr"/>
      <c r="P27" s="8" t="n"/>
      <c r="Q27" s="4" t="n"/>
      <c r="R27" s="5" t="inlineStr"/>
    </row>
    <row r="28">
      <c r="A28" s="13" t="n"/>
      <c r="B28" s="15" t="inlineStr">
        <is>
          <t>6其他</t>
        </is>
      </c>
      <c r="C28" s="4" t="n"/>
      <c r="D28" s="5" t="inlineStr">
        <is>
          <t>-</t>
        </is>
      </c>
      <c r="E28" s="8" t="n"/>
      <c r="F28" s="4" t="n"/>
      <c r="G28" s="5" t="inlineStr">
        <is>
          <t>-</t>
        </is>
      </c>
      <c r="H28" s="8" t="n"/>
      <c r="I28" s="4" t="n"/>
      <c r="J28" s="24" t="inlineStr">
        <is>
          <t>-</t>
        </is>
      </c>
      <c r="K28" s="5" t="inlineStr"/>
      <c r="L28" s="8" t="n"/>
      <c r="M28" s="4" t="n"/>
      <c r="N28" s="5" t="inlineStr"/>
      <c r="O28" s="5" t="inlineStr"/>
      <c r="P28" s="8" t="n"/>
      <c r="Q28" s="4" t="n"/>
      <c r="R28" s="5" t="inlineStr"/>
    </row>
    <row r="29">
      <c r="B29" s="3" t="inlineStr">
        <is>
          <t>合計</t>
        </is>
      </c>
      <c r="C29" s="4" t="n"/>
      <c r="D29" s="5" t="inlineStr"/>
      <c r="E29" s="8" t="n"/>
      <c r="F29" s="4" t="n"/>
      <c r="G29" s="24" t="n">
        <v>13</v>
      </c>
      <c r="H29" s="8" t="n"/>
      <c r="I29" s="8" t="n"/>
      <c r="J29" s="4" t="n"/>
      <c r="K29" s="24" t="inlineStr"/>
      <c r="L29" s="8" t="n"/>
      <c r="M29" s="8" t="n"/>
      <c r="N29" s="4" t="n"/>
      <c r="O29" s="24" t="inlineStr"/>
      <c r="P29" s="8" t="n"/>
      <c r="Q29" s="8" t="n"/>
      <c r="R29" s="4" t="n"/>
    </row>
    <row r="30">
      <c r="A30" s="3" t="inlineStr">
        <is>
          <t>比
較
價
格</t>
        </is>
      </c>
      <c r="B30" s="15" t="inlineStr">
        <is>
          <t>調整百分率絕對值加總</t>
        </is>
      </c>
      <c r="C30" s="4" t="n"/>
      <c r="D30" s="3" t="inlineStr">
        <is>
          <t>價格形成因素之相近程度</t>
        </is>
      </c>
      <c r="E30" s="8" t="n"/>
      <c r="F30" s="4" t="n"/>
      <c r="G30" s="24" t="n">
        <v>15</v>
      </c>
      <c r="H30" s="4" t="n"/>
      <c r="I30" s="5" t="inlineStr">
        <is>
          <t>普通</t>
        </is>
      </c>
      <c r="J30" s="4" t="n"/>
      <c r="K30" s="24" t="inlineStr"/>
      <c r="L30" s="4" t="n"/>
      <c r="M30" s="5" t="inlineStr"/>
      <c r="N30" s="4" t="n"/>
      <c r="O30" s="24" t="inlineStr"/>
      <c r="P30" s="4" t="n"/>
      <c r="Q30" s="5" t="inlineStr"/>
      <c r="R30" s="4" t="n"/>
    </row>
    <row r="31">
      <c r="A31" s="12" t="n"/>
      <c r="B31" s="15" t="inlineStr">
        <is>
          <t>試算價格</t>
        </is>
      </c>
      <c r="C31" s="4" t="n"/>
      <c r="D31" s="3" t="inlineStr">
        <is>
          <t>比較標的權重</t>
        </is>
      </c>
      <c r="E31" s="8" t="n"/>
      <c r="F31" s="4" t="n"/>
      <c r="G31" s="25" t="n">
        <v>212958</v>
      </c>
      <c r="H31" s="4" t="n"/>
      <c r="I31" s="28" t="n">
        <v>100</v>
      </c>
      <c r="J31" s="4" t="n"/>
      <c r="K31" s="25" t="inlineStr"/>
      <c r="L31" s="4" t="n"/>
      <c r="M31" s="28" t="inlineStr"/>
      <c r="N31" s="4" t="n"/>
      <c r="O31" s="25" t="inlineStr"/>
      <c r="P31" s="4" t="n"/>
      <c r="Q31" s="28" t="inlineStr"/>
      <c r="R31" s="4" t="n"/>
    </row>
    <row r="32">
      <c r="A32" s="13" t="n"/>
      <c r="B32" s="3" t="inlineStr">
        <is>
          <t>比準地比較價格</t>
        </is>
      </c>
      <c r="C32" s="8" t="n"/>
      <c r="D32" s="8" t="n"/>
      <c r="E32" s="8" t="n"/>
      <c r="F32" s="4" t="n"/>
      <c r="G32" s="25" t="n">
        <v>212958</v>
      </c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4" t="n"/>
    </row>
    <row r="33" ht="90" customHeight="1">
      <c r="A33" s="3" t="inlineStr">
        <is>
          <t>備
註
欄</t>
        </is>
      </c>
      <c r="B33" s="3" t="inlineStr">
        <is>
          <t>比準地或各比較標的</t>
        </is>
      </c>
      <c r="C33" s="4" t="n"/>
      <c r="D33" s="16" t="inlineStr"/>
      <c r="E33" s="8" t="n"/>
      <c r="F33" s="4" t="n"/>
      <c r="G33" s="16" t="inlineStr">
        <is>
          <t>第64期都市地價指數；金山區商業區年漲幅 6.18%；調整率約 2% = (48,481/47,513)−1，範本填 2.00%；引擎以 pct 為準（估價師填值），index 僅供審查比對</t>
        </is>
      </c>
      <c r="H33" s="8" t="n"/>
      <c r="I33" s="8" t="n"/>
      <c r="J33" s="4" t="n"/>
      <c r="K33" s="16" t="inlineStr"/>
      <c r="L33" s="8" t="n"/>
      <c r="M33" s="8" t="n"/>
      <c r="N33" s="4" t="n"/>
      <c r="O33" s="16" t="inlineStr"/>
      <c r="P33" s="8" t="n"/>
      <c r="Q33" s="8" t="n"/>
      <c r="R33" s="4" t="n"/>
    </row>
    <row r="34" ht="80" customHeight="1">
      <c r="A34" s="13" t="n"/>
      <c r="B34" s="3" t="inlineStr">
        <is>
          <t>全案</t>
        </is>
      </c>
      <c r="C34" s="4" t="n"/>
      <c r="D34" s="16" t="inlineStr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4" t="n"/>
    </row>
    <row r="35">
      <c r="A35" s="2" t="inlineStr">
        <is>
          <t>填寫日期：114 年 09 月 18 日</t>
        </is>
      </c>
      <c r="D35" s="2" t="inlineStr">
        <is>
          <t>承辦員：</t>
        </is>
      </c>
      <c r="G35" s="2" t="inlineStr">
        <is>
          <t>課（股）長：</t>
        </is>
      </c>
      <c r="K35" s="2" t="inlineStr">
        <is>
          <t>主任（局、處長）：</t>
        </is>
      </c>
      <c r="O35" s="2" t="inlineStr">
        <is>
          <t>不動產估價師：</t>
        </is>
      </c>
    </row>
  </sheetData>
  <mergeCells count="142">
    <mergeCell ref="D2:F2"/>
    <mergeCell ref="D11:F11"/>
    <mergeCell ref="G13:I13"/>
    <mergeCell ref="O4:Q4"/>
    <mergeCell ref="O22:Q22"/>
    <mergeCell ref="B31:C31"/>
    <mergeCell ref="G15:I15"/>
    <mergeCell ref="O21:Q21"/>
    <mergeCell ref="G24:I24"/>
    <mergeCell ref="D28:F28"/>
    <mergeCell ref="K27:M27"/>
    <mergeCell ref="D12:F12"/>
    <mergeCell ref="D9:F9"/>
    <mergeCell ref="G26:I26"/>
    <mergeCell ref="K17:M17"/>
    <mergeCell ref="D30:F30"/>
    <mergeCell ref="K33:N33"/>
    <mergeCell ref="B15:B16"/>
    <mergeCell ref="D14:F14"/>
    <mergeCell ref="D29:F29"/>
    <mergeCell ref="K10:M10"/>
    <mergeCell ref="D23:F23"/>
    <mergeCell ref="K2:L2"/>
    <mergeCell ref="A33:A34"/>
    <mergeCell ref="G9:I9"/>
    <mergeCell ref="K3:M3"/>
    <mergeCell ref="K16:M16"/>
    <mergeCell ref="B24:B27"/>
    <mergeCell ref="K25:M25"/>
    <mergeCell ref="O10:Q10"/>
    <mergeCell ref="A2:C3"/>
    <mergeCell ref="Q30:R30"/>
    <mergeCell ref="O2:P2"/>
    <mergeCell ref="O19:Q19"/>
    <mergeCell ref="Q2:R2"/>
    <mergeCell ref="B33:C33"/>
    <mergeCell ref="K9:M9"/>
    <mergeCell ref="K5:M5"/>
    <mergeCell ref="O9:Q9"/>
    <mergeCell ref="K20:M20"/>
    <mergeCell ref="K11:M11"/>
    <mergeCell ref="I30:J30"/>
    <mergeCell ref="O5:Q5"/>
    <mergeCell ref="K30:L30"/>
    <mergeCell ref="D27:F27"/>
    <mergeCell ref="G28:I28"/>
    <mergeCell ref="G6:I6"/>
    <mergeCell ref="K22:M22"/>
    <mergeCell ref="G29:J29"/>
    <mergeCell ref="K12:M12"/>
    <mergeCell ref="K8:M8"/>
    <mergeCell ref="G14:I14"/>
    <mergeCell ref="A5:C5"/>
    <mergeCell ref="K14:M14"/>
    <mergeCell ref="O12:Q12"/>
    <mergeCell ref="K23:M23"/>
    <mergeCell ref="D3:F3"/>
    <mergeCell ref="G4:I4"/>
    <mergeCell ref="A4:C4"/>
    <mergeCell ref="D25:F25"/>
    <mergeCell ref="O31:P31"/>
    <mergeCell ref="K7:M7"/>
    <mergeCell ref="Q31:R31"/>
    <mergeCell ref="O14:Q14"/>
    <mergeCell ref="B29:C29"/>
    <mergeCell ref="D5:F5"/>
    <mergeCell ref="O23:Q23"/>
    <mergeCell ref="G32:R32"/>
    <mergeCell ref="K4:M4"/>
    <mergeCell ref="O13:Q13"/>
    <mergeCell ref="O29:R29"/>
    <mergeCell ref="O7:Q7"/>
    <mergeCell ref="K18:M18"/>
    <mergeCell ref="A8:B8"/>
    <mergeCell ref="O15:Q15"/>
    <mergeCell ref="D34:R34"/>
    <mergeCell ref="O24:Q24"/>
    <mergeCell ref="G27:I27"/>
    <mergeCell ref="O18:Q18"/>
    <mergeCell ref="D31:F31"/>
    <mergeCell ref="G8:I8"/>
    <mergeCell ref="G33:J33"/>
    <mergeCell ref="A7:C7"/>
    <mergeCell ref="G10:I10"/>
    <mergeCell ref="G2:H2"/>
    <mergeCell ref="I2:J2"/>
    <mergeCell ref="G3:I3"/>
    <mergeCell ref="D7:F7"/>
    <mergeCell ref="O25:Q25"/>
    <mergeCell ref="O30:P30"/>
    <mergeCell ref="M2:N2"/>
    <mergeCell ref="O27:Q27"/>
    <mergeCell ref="G5:I5"/>
    <mergeCell ref="O17:Q17"/>
    <mergeCell ref="K31:L31"/>
    <mergeCell ref="D8:F8"/>
    <mergeCell ref="M31:N31"/>
    <mergeCell ref="D33:F33"/>
    <mergeCell ref="A30:A32"/>
    <mergeCell ref="K13:M13"/>
    <mergeCell ref="B34:C34"/>
    <mergeCell ref="K29:N29"/>
    <mergeCell ref="B28:C28"/>
    <mergeCell ref="G12:I12"/>
    <mergeCell ref="K15:M15"/>
    <mergeCell ref="K24:M24"/>
    <mergeCell ref="B30:C30"/>
    <mergeCell ref="B9:B14"/>
    <mergeCell ref="O6:Q6"/>
    <mergeCell ref="B22:B23"/>
    <mergeCell ref="G23:I23"/>
    <mergeCell ref="K21:M21"/>
    <mergeCell ref="K26:M26"/>
    <mergeCell ref="G7:I7"/>
    <mergeCell ref="D6:F6"/>
    <mergeCell ref="D13:F13"/>
    <mergeCell ref="O26:Q26"/>
    <mergeCell ref="O16:Q16"/>
    <mergeCell ref="A6:B6"/>
    <mergeCell ref="D4:F4"/>
    <mergeCell ref="O8:Q8"/>
    <mergeCell ref="D15:F15"/>
    <mergeCell ref="O33:R33"/>
    <mergeCell ref="O11:Q11"/>
    <mergeCell ref="D24:F24"/>
    <mergeCell ref="G25:I25"/>
    <mergeCell ref="M30:N30"/>
    <mergeCell ref="K19:M19"/>
    <mergeCell ref="K28:M28"/>
    <mergeCell ref="G30:H30"/>
    <mergeCell ref="K6:M6"/>
    <mergeCell ref="D26:F26"/>
    <mergeCell ref="O3:Q3"/>
    <mergeCell ref="D10:F10"/>
    <mergeCell ref="G11:I11"/>
    <mergeCell ref="O28:Q28"/>
    <mergeCell ref="A9:A28"/>
    <mergeCell ref="B17:B21"/>
    <mergeCell ref="G31:H31"/>
    <mergeCell ref="I31:J31"/>
    <mergeCell ref="B32:F32"/>
    <mergeCell ref="O20:Q2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2026-09-06T14:04:03Z</dcterms:created>
  <dcterms:modified xmlns:dcterms="http://purl.org/dc/terms/" xmlns:xsi="http://www.w3.org/2001/XMLSchema-instance" xsi:type="dcterms:W3CDTF">2026-09-06T14:04:04Z</dcterms:modified>
</cp:coreProperties>
</file>